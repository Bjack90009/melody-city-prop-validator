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f1b41630e74a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9d647b7143c64944"/>
    <x:sheet xmlns:r="http://schemas.openxmlformats.org/officeDocument/2006/relationships" name="规则配置" sheetId="2" r:id="R3de7eb5117174abd"/>
    <x:sheet xmlns:r="http://schemas.openxmlformats.org/officeDocument/2006/relationships" name="品质配置" sheetId="3" r:id="R02804281c54f4829"/>
    <x:sheet xmlns:r="http://schemas.openxmlformats.org/officeDocument/2006/relationships" name="表演规则" sheetId="4" r:id="R5864388b51e94a0c"/>
    <x:sheet xmlns:r="http://schemas.openxmlformats.org/officeDocument/2006/relationships" name="发挥档位" sheetId="5" r:id="Rf482d67e04e44636"/>
    <x:sheet xmlns:r="http://schemas.openxmlformats.org/officeDocument/2006/relationships" name="现场事件" sheetId="6" r:id="R8839bcefd7d7442b"/>
    <x:sheet xmlns:r="http://schemas.openxmlformats.org/officeDocument/2006/relationships" name="种类表演特性" sheetId="7" r:id="R53b83654d2394126"/>
    <x:sheet xmlns:r="http://schemas.openxmlformats.org/officeDocument/2006/relationships" name="道具配置" sheetId="8" r:id="R940a03a3c80348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5">
    <x:font>
      <x:sz val="11"/>
      <x:name val="Carlito"/>
    </x:font>
    <x:font>
      <x:b/>
      <x:sz val="18"/>
      <x:color rgb="FFF2D18A"/>
      <x:name val="Carlito"/>
    </x:font>
    <x:font>
      <x:b/>
      <x:sz val="11"/>
      <x:color rgb="FFFFFFFF"/>
      <x:name val="Carlito"/>
    </x:font>
    <x:font>
      <x:sz val="11"/>
      <x:color rgb="FF17212B"/>
      <x:name val="Carlito"/>
    </x:font>
    <x:font>
      <x:b/>
      <x:sz val="11"/>
      <x:color rgb="FF17212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C1B2A"/>
      </x:patternFill>
    </x:fill>
    <x:fill>
      <x:patternFill patternType="solid">
        <x:fgColor rgb="FF183247"/>
      </x:patternFill>
    </x:fill>
    <x:fill>
      <x:patternFill patternType="solid">
        <x:fgColor rgb="FFF5F0E6"/>
      </x:patternFill>
    </x:fill>
  </x:fills>
  <x:borders count="10">
    <x:border/>
    <x:border>
      <x:right style="thin">
        <x:color rgb="FFCAD2D8"/>
      </x:right>
      <x:bottom style="thin">
        <x:color rgb="FFCAD2D8"/>
      </x:bottom>
    </x:border>
    <x:border>
      <x:left style="thin">
        <x:color rgb="FFCAD2D8"/>
      </x:left>
      <x:bottom style="thin">
        <x:color rgb="FFCAD2D8"/>
      </x:bottom>
    </x:border>
    <x:border>
      <x:right style="thin">
        <x:color rgb="FFCAD2D8"/>
      </x:right>
      <x:top style="thin">
        <x:color rgb="FFCAD2D8"/>
      </x:top>
      <x:bottom style="thin">
        <x:color rgb="FFCAD2D8"/>
      </x:bottom>
    </x:border>
    <x:border>
      <x:left style="thin">
        <x:color rgb="FFCAD2D8"/>
      </x:left>
      <x:top style="thin">
        <x:color rgb="FFCAD2D8"/>
      </x:top>
      <x:bottom style="thin">
        <x:color rgb="FFCAD2D8"/>
      </x:bottom>
    </x:border>
    <x:border>
      <x:right style="thin">
        <x:color rgb="FFCAD2D8"/>
      </x:right>
      <x:top style="thin">
        <x:color rgb="FFCAD2D8"/>
      </x:top>
    </x:border>
    <x:border>
      <x:left style="thin">
        <x:color rgb="FFCAD2D8"/>
      </x:left>
      <x:top style="thin">
        <x:color rgb="FFCAD2D8"/>
      </x:top>
    </x:border>
    <x:border>
      <x:left style="thin">
        <x:color rgb="FFCAD2D8"/>
      </x:left>
      <x:right style="thin">
        <x:color rgb="FFCAD2D8"/>
      </x:right>
      <x:bottom style="thin">
        <x:color rgb="FFCAD2D8"/>
      </x:bottom>
    </x:border>
    <x:border>
      <x:left style="thin">
        <x:color rgb="FFCAD2D8"/>
      </x:left>
      <x:right style="thin">
        <x:color rgb="FFCAD2D8"/>
      </x:right>
      <x:top style="thin">
        <x:color rgb="FFCAD2D8"/>
      </x:top>
      <x:bottom style="thin">
        <x:color rgb="FFCAD2D8"/>
      </x:bottom>
    </x:border>
    <x:border>
      <x:left style="thin">
        <x:color rgb="FFCAD2D8"/>
      </x:left>
      <x:right style="thin">
        <x:color rgb="FFCAD2D8"/>
      </x:right>
      <x:top style="thin">
        <x:color rgb="FFCAD2D8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/>
    </x:xf>
    <x:xf numFmtId="0" fontId="3" fillId="4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/>
    </x:xf>
    <x:xf numFmtId="0" fontId="3" fillId="4" borderId="6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/>
    <x:xf numFmtId="0" fontId="2" fillId="3" borderId="7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8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9" xfId="0" applyNumberFormat="1" applyFont="1" applyFill="1" applyBorder="1"/>
    <x:xf numFmtId="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201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horizontal="right"/>
    </x:xf>
    <x:xf numFmtId="0" fontId="0" fillId="0" borderId="9" xfId="0" applyNumberFormat="1" applyFont="1" applyFill="1" applyBorder="1" applyAlignment="1">
      <x:alignment horizontal="right"/>
    </x:xf>
    <x:xf numFmtId="0" fontId="0" fillId="0" borderId="3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horizontal="right" vertical="top"/>
    </x:xf>
    <x:xf numFmtId="0" fontId="0" fillId="0" borderId="4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horizontal="right" vertical="top"/>
    </x:xf>
    <x:xf numFmtId="0" fontId="0" fillId="0" borderId="6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06603d410d4c12" /><Relationship Type="http://schemas.openxmlformats.org/officeDocument/2006/relationships/theme" Target="/xl/theme/theme1.xml" Id="R28da34649f684589" /><Relationship Type="http://schemas.openxmlformats.org/officeDocument/2006/relationships/sharedStrings" Target="/xl/sharedStrings.xml" Id="R6148da5950374fdb" /><Relationship Type="http://schemas.openxmlformats.org/officeDocument/2006/relationships/worksheet" Target="/xl/worksheets/sheet1.xml" Id="R9d647b7143c64944" /><Relationship Type="http://schemas.openxmlformats.org/officeDocument/2006/relationships/worksheet" Target="/xl/worksheets/sheet2.xml" Id="R3de7eb5117174abd" /><Relationship Type="http://schemas.openxmlformats.org/officeDocument/2006/relationships/worksheet" Target="/xl/worksheets/sheet3.xml" Id="R02804281c54f4829" /><Relationship Type="http://schemas.openxmlformats.org/officeDocument/2006/relationships/worksheet" Target="/xl/worksheets/sheet4.xml" Id="R5864388b51e94a0c" /><Relationship Type="http://schemas.openxmlformats.org/officeDocument/2006/relationships/worksheet" Target="/xl/worksheets/sheet5.xml" Id="Rf482d67e04e44636" /><Relationship Type="http://schemas.openxmlformats.org/officeDocument/2006/relationships/worksheet" Target="/xl/worksheets/sheet6.xml" Id="R8839bcefd7d7442b" /><Relationship Type="http://schemas.openxmlformats.org/officeDocument/2006/relationships/worksheet" Target="/xl/worksheets/sheet7.xml" Id="R53b83654d2394126" /><Relationship Type="http://schemas.openxmlformats.org/officeDocument/2006/relationships/worksheet" Target="/xl/worksheets/sheet8.xml" Id="R940a03a3c803484e" /></Relationships>
</file>

<file path=xl/tables/table1.xml><?xml version="1.0" encoding="utf-8"?>
<x:table xmlns:x="http://schemas.openxmlformats.org/spreadsheetml/2006/main" id="2" name="ValidatorRulesTable" displayName="ValidatorRulesTable" ref="A1:D20" headerRowCount="1" totalsRowCount="0" totalsRowShown="0">
  <x:tableColumns count="4">
    <x:tableColumn id="1" name="键名"/>
    <x:tableColumn id="2" name="值"/>
    <x:tableColumn id="3" name="类型"/>
    <x:tableColumn id="4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QualityStylesTable" displayName="QualityStylesTable" ref="A1:E5" headerRowCount="1" totalsRowCount="0" totalsRowShown="0">
  <x:tableColumns count="5">
    <x:tableColumn id="1" name="品质"/>
    <x:tableColumn id="2" name="排序"/>
    <x:tableColumn id="3" name="界面颜色"/>
    <x:tableColumn id="4" name="定位"/>
    <x:tableColumn id="5" name="试玩掉落权重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PerformanceRulesTable" displayName="PerformanceRulesTable" ref="A1:D12" headerRowCount="1" totalsRowCount="0" totalsRowShown="0">
  <x:tableColumns count="4">
    <x:tableColumn id="1" name="键名"/>
    <x:tableColumn id="2" name="值"/>
    <x:tableColumn id="3" name="类型"/>
    <x:tableColumn id="4" name="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PerformanceOutcomesTable" displayName="PerformanceOutcomesTable" ref="A1:F4" headerRowCount="1" totalsRowCount="0" totalsRowShown="0">
  <x:tableColumns count="6">
    <x:tableColumn id="1" name="档位ID"/>
    <x:tableColumn id="2" name="名称"/>
    <x:tableColumn id="3" name="权重"/>
    <x:tableColumn id="4" name="额外倍率"/>
    <x:tableColumn id="5" name="界面颜色"/>
    <x:tableColumn id="6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PerformanceEventsTable" displayName="PerformanceEventsTable" ref="A1:H8" headerRowCount="1" totalsRowCount="0" totalsRowShown="0">
  <x:tableColumns count="8">
    <x:tableColumn id="1" name="事件ID"/>
    <x:tableColumn id="2" name="名称"/>
    <x:tableColumn id="3" name="类型"/>
    <x:tableColumn id="4" name="权重"/>
    <x:tableColumn id="5" name="分数比例"/>
    <x:tableColumn id="6" name="回应操作"/>
    <x:tableColumn id="7" name="回应减免比例"/>
    <x:tableColumn id="8" name="说明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CategoryPerformanceTable" displayName="CategoryPerformanceTable" ref="A1:D7" headerRowCount="1" totalsRowCount="0" totalsRowShown="0">
  <x:tableColumns count="4">
    <x:tableColumn id="1" name="种类"/>
    <x:tableColumn id="2" name="聚光权重"/>
    <x:tableColumn id="3" name="节拍窗口修正"/>
    <x:tableColumn id="4" name="表演定位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" name="PerformancePropsTable" displayName="PerformancePropsTable" ref="A1:X61" headerRowCount="1" totalsRowCount="0" totalsRowShown="0">
  <x:tableColumns count="24">
    <x:tableColumn id="1" name="ID"/>
    <x:tableColumn id="2" name="名称"/>
    <x:tableColumn id="3" name="种类"/>
    <x:tableColumn id="4" name="风格标签"/>
    <x:tableColumn id="5" name="品质"/>
    <x:tableColumn id="6" name="宽"/>
    <x:tableColumn id="7" name="高"/>
    <x:tableColumn id="8" name="占格数"/>
    <x:tableColumn id="9" name="限制文本"/>
    <x:tableColumn id="10" name="限制范围"/>
    <x:tableColumn id="11" name="限制键"/>
    <x:tableColumn id="12" name="限制数量"/>
    <x:tableColumn id="13" name="基础表演值Lv1"/>
    <x:tableColumn id="14" name="基础表演值Lv2"/>
    <x:tableColumn id="15" name="基础表演值Lv3"/>
    <x:tableColumn id="16" name="基础表演值Lv4"/>
    <x:tableColumn id="17" name="基础表演值Lv5"/>
    <x:tableColumn id="18" name="效果值Lv1"/>
    <x:tableColumn id="19" name="效果值Lv2"/>
    <x:tableColumn id="20" name="效果值Lv3"/>
    <x:tableColumn id="21" name="效果值Lv4"/>
    <x:tableColumn id="22" name="效果值Lv5"/>
    <x:tableColumn id="23" name="效果规则JSON"/>
    <x:tableColumn id="24" name="效果描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cd957b218624f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d9d37b1fae49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ab835bfcb749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35a212602984a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3b93269e74e407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9ec99b34a7e45f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1a06088e82b44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6" hidden="0" customWidth="1"/>
  </x:cols>
  <x:sheetData>
    <x:row r="1" ht="34" customHeight="1">
      <x:c r="A1" s="2" t="str">
        <x:v>爱乐之城 · 表演道具验证配置</x:v>
      </x:c>
      <x:c r="B1" s="2"/>
    </x:row>
    <x:row r="3" ht="38" customHeight="1">
      <x:c r="A3" s="10" t="str">
        <x:v>使用方式</x:v>
      </x:c>
      <x:c r="B3" s="11" t="str">
        <x:v>HTML 工具启动后会自动读取本工作簿；也可以点击“加载配置表”读取修改后的副本。</x:v>
      </x:c>
    </x:row>
    <x:row r="4" ht="38" customHeight="1">
      <x:c r="A4" s="12" t="str">
        <x:v>模式</x:v>
      </x:c>
      <x:c r="B4" s="13" t="str">
        <x:v>默认进入试玩模式；测试模式保留60件全量道具、复制与等级调试。两种模式分别保存进度。</x:v>
      </x:c>
    </x:row>
    <x:row r="5" ht="38" customHeight="1">
      <x:c r="A5" s="12" t="str">
        <x:v>试玩成长</x:v>
      </x:c>
      <x:c r="B5" s="13" t="str">
        <x:v>初始随机获得1件紫色与1件蓝色道具；每完成3次表演进入三选一，50%概率首个选项为解锁背包格。</x:v>
      </x:c>
    </x:row>
    <x:row r="6" ht="38" customHeight="1">
      <x:c r="A6" s="12" t="str">
        <x:v>规则配置</x:v>
      </x:c>
      <x:c r="B6" s="13" t="str">
        <x:v>修改背包、体力、奖励频率、选格概率、单次选格数量与试玩初始道具等参数。键名不要修改。</x:v>
      </x:c>
    </x:row>
    <x:row r="7" ht="38" customHeight="1">
      <x:c r="A7" s="12" t="str">
        <x:v>品质配置</x:v>
      </x:c>
      <x:c r="B7" s="13" t="str">
        <x:v>修改品质排序、界面颜色与试玩掉落权重。品质名称需要与道具配置一致。</x:v>
      </x:c>
    </x:row>
    <x:row r="8" ht="38" customHeight="1">
      <x:c r="A8" s="12" t="str">
        <x:v>表演规则</x:v>
      </x:c>
      <x:c r="B8" s="13" t="str">
        <x:v>配置每场聚光段数、节拍判定、动画时长、事件概率与事件回应时间。</x:v>
      </x:c>
    </x:row>
    <x:row r="9" ht="38" customHeight="1">
      <x:c r="A9" s="12" t="str">
        <x:v>发挥档位</x:v>
      </x:c>
      <x:c r="B9" s="13" t="str">
        <x:v>配置稳定、灵感、惊艳三档的抽取权重和聚光额外收益。</x:v>
      </x:c>
    </x:row>
    <x:row r="10" ht="38" customHeight="1">
      <x:c r="A10" s="12" t="str">
        <x:v>现场事件</x:v>
      </x:c>
      <x:c r="B10" s="13" t="str">
        <x:v>配置单场至多一个现场事件的权重、分数影响和可回应比例。</x:v>
      </x:c>
    </x:row>
    <x:row r="11" ht="38" customHeight="1">
      <x:c r="A11" s="12" t="str">
        <x:v>种类表演特性</x:v>
      </x:c>
      <x:c r="B11" s="13" t="str">
        <x:v>配置六类道具被聚光选中的权重和节拍判定窗口修正；种类同时用于道具效果与界面信息。</x:v>
      </x:c>
    </x:row>
    <x:row r="12" ht="38" customHeight="1">
      <x:c r="A12" s="12" t="str">
        <x:v>道具配置</x:v>
      </x:c>
      <x:c r="B12" s="13" t="str">
        <x:v>60 件道具的名称、种类、风格标签、形状、限制、五级数值、效果规则与文案。效果类别条件只使用种类。</x:v>
      </x:c>
    </x:row>
    <x:row r="13" ht="38" customHeight="1">
      <x:c r="A13" s="12" t="str">
        <x:v>效果规则JSON</x:v>
      </x:c>
      <x:c r="B13" s="13" t="str">
        <x:v>工具实际按该列计算效果；修改效果机制时需要同步修改 JSON 与效果描述。</x:v>
      </x:c>
    </x:row>
    <x:row r="14" ht="38" customHeight="1">
      <x:c r="A14" s="12" t="str">
        <x:v>五级数值</x:v>
      </x:c>
      <x:c r="B14" s="13" t="str">
        <x:v>基础表演值与效果值分别配置 Lv.1—Lv.5。百分比效果以整数填写，例如8代表8%。</x:v>
      </x:c>
    </x:row>
    <x:row r="15" ht="38" customHeight="1">
      <x:c r="A15" s="12" t="str">
        <x:v>固定形状</x:v>
      </x:c>
      <x:c r="B15" s="13" t="str">
        <x:v>宽、高分别对应水平方向与垂直方向；工具不提供旋转。</x:v>
      </x:c>
    </x:row>
    <x:row r="16" ht="38" customHeight="1">
      <x:c r="A16" s="14" t="str">
        <x:v>保存与加载</x:v>
      </x:c>
      <x:c r="B16" s="15" t="str">
        <x:v>修改后另存为 .xlsx，再在工具中加载。浏览器会把当前测试进度保存在本机。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.380000114440918" hidden="0" customWidth="1"/>
    <x:col min="3" max="3" width="4.25" hidden="0" customWidth="1"/>
    <x:col min="4" max="4" width="42" hidden="0" customWidth="1"/>
  </x:cols>
  <x:sheetData>
    <x:row r="1" ht="28" customHeight="1">
      <x:c r="A1" s="16" t="str">
        <x:v>键名</x:v>
      </x:c>
      <x:c r="B1" s="17" t="str">
        <x:v>值</x:v>
      </x:c>
      <x:c r="C1" s="17" t="str">
        <x:v>类型</x:v>
      </x:c>
      <x:c r="D1" s="18" t="str">
        <x:v>说明</x:v>
      </x:c>
    </x:row>
    <x:row r="2">
      <x:c r="A2" s="19" t="str">
        <x:v>backpack_rows</x:v>
      </x:c>
      <x:c r="B2" s="25" t="n">
        <x:v>8</x:v>
      </x:c>
      <x:c r="C2" s="20" t="str">
        <x:v>整数</x:v>
      </x:c>
      <x:c r="D2" s="21" t="str">
        <x:v>背包最大行数</x:v>
      </x:c>
    </x:row>
    <x:row r="3">
      <x:c r="A3" s="19" t="str">
        <x:v>backpack_cols</x:v>
      </x:c>
      <x:c r="B3" s="25" t="n">
        <x:v>8</x:v>
      </x:c>
      <x:c r="C3" s="20" t="str">
        <x:v>整数</x:v>
      </x:c>
      <x:c r="D3" s="21" t="str">
        <x:v>背包最大列数</x:v>
      </x:c>
    </x:row>
    <x:row r="4">
      <x:c r="A4" s="19" t="str">
        <x:v>initial_rows</x:v>
      </x:c>
      <x:c r="B4" s="25" t="n">
        <x:v>2</x:v>
      </x:c>
      <x:c r="C4" s="20" t="str">
        <x:v>整数</x:v>
      </x:c>
      <x:c r="D4" s="21" t="str">
        <x:v>初始中央可用区域行数</x:v>
      </x:c>
    </x:row>
    <x:row r="5">
      <x:c r="A5" s="19" t="str">
        <x:v>initial_cols</x:v>
      </x:c>
      <x:c r="B5" s="25" t="n">
        <x:v>4</x:v>
      </x:c>
      <x:c r="C5" s="20" t="str">
        <x:v>整数</x:v>
      </x:c>
      <x:c r="D5" s="21" t="str">
        <x:v>初始中央可用区域列数</x:v>
      </x:c>
    </x:row>
    <x:row r="6">
      <x:c r="A6" s="19" t="str">
        <x:v>stamina_per_performance</x:v>
      </x:c>
      <x:c r="B6" s="25" t="n">
        <x:v>3</x:v>
      </x:c>
      <x:c r="C6" s="20" t="str">
        <x:v>整数</x:v>
      </x:c>
      <x:c r="D6" s="21" t="str">
        <x:v>每次表演消耗体力</x:v>
      </x:c>
    </x:row>
    <x:row r="7">
      <x:c r="A7" s="19" t="str">
        <x:v>initial_item_level</x:v>
      </x:c>
      <x:c r="B7" s="25" t="n">
        <x:v>1</x:v>
      </x:c>
      <x:c r="C7" s="20" t="str">
        <x:v>整数</x:v>
      </x:c>
      <x:c r="D7" s="21" t="str">
        <x:v>仓库初始道具等级</x:v>
      </x:c>
    </x:row>
    <x:row r="8">
      <x:c r="A8" s="19" t="str">
        <x:v>max_item_level</x:v>
      </x:c>
      <x:c r="B8" s="25" t="n">
        <x:v>5</x:v>
      </x:c>
      <x:c r="C8" s="20" t="str">
        <x:v>整数</x:v>
      </x:c>
      <x:c r="D8" s="21" t="str">
        <x:v>测试器允许的最高等级</x:v>
      </x:c>
    </x:row>
    <x:row r="9">
      <x:c r="A9" s="19" t="str">
        <x:v>upgrade_duplicates_per_level</x:v>
      </x:c>
      <x:c r="B9" s="25" t="n">
        <x:v>2</x:v>
      </x:c>
      <x:c r="C9" s="20" t="str">
        <x:v>整数</x:v>
      </x:c>
      <x:c r="D9" s="21" t="str">
        <x:v>试玩模式每提升一级消耗的同名重复道具数</x:v>
      </x:c>
    </x:row>
    <x:row r="10">
      <x:c r="A10" s="19" t="str">
        <x:v>test_initial_copies_each</x:v>
      </x:c>
      <x:c r="B10" s="25" t="n">
        <x:v>1</x:v>
      </x:c>
      <x:c r="C10" s="20" t="str">
        <x:v>整数</x:v>
      </x:c>
      <x:c r="D10" s="21" t="str">
        <x:v>测试模式初始拥有每种道具的件数</x:v>
      </x:c>
    </x:row>
    <x:row r="11">
      <x:c r="A11" s="19" t="str">
        <x:v>trial_initial_purple_count</x:v>
      </x:c>
      <x:c r="B11" s="25" t="n">
        <x:v>1</x:v>
      </x:c>
      <x:c r="C11" s="20" t="str">
        <x:v>整数</x:v>
      </x:c>
      <x:c r="D11" s="21" t="str">
        <x:v>试玩模式初始紫色道具数量</x:v>
      </x:c>
    </x:row>
    <x:row r="12">
      <x:c r="A12" s="19" t="str">
        <x:v>trial_initial_blue_count</x:v>
      </x:c>
      <x:c r="B12" s="25" t="n">
        <x:v>1</x:v>
      </x:c>
      <x:c r="C12" s="20" t="str">
        <x:v>整数</x:v>
      </x:c>
      <x:c r="D12" s="21" t="str">
        <x:v>试玩模式初始蓝色道具数量</x:v>
      </x:c>
    </x:row>
    <x:row r="13">
      <x:c r="A13" s="19" t="str">
        <x:v>trial_performances_per_reward</x:v>
      </x:c>
      <x:c r="B13" s="25" t="n">
        <x:v>3</x:v>
      </x:c>
      <x:c r="C13" s="20" t="str">
        <x:v>整数</x:v>
      </x:c>
      <x:c r="D13" s="21" t="str">
        <x:v>试玩模式每完成多少次表演进入一次奖励选择</x:v>
      </x:c>
    </x:row>
    <x:row r="14">
      <x:c r="A14" s="19" t="str">
        <x:v>trial_rewards_per_performance</x:v>
      </x:c>
      <x:c r="B14" s="25" t="n">
        <x:v>1</x:v>
      </x:c>
      <x:c r="C14" s="20" t="str">
        <x:v>整数</x:v>
      </x:c>
      <x:c r="D14" s="21" t="str">
        <x:v>试玩模式每次奖励确认获得的数量</x:v>
      </x:c>
    </x:row>
    <x:row r="15">
      <x:c r="A15" s="19" t="str">
        <x:v>trial_reward_choice_count</x:v>
      </x:c>
      <x:c r="B15" s="25" t="n">
        <x:v>3</x:v>
      </x:c>
      <x:c r="C15" s="20" t="str">
        <x:v>整数</x:v>
      </x:c>
      <x:c r="D15" s="21" t="str">
        <x:v>试玩模式每次奖励展示的候选数量</x:v>
      </x:c>
    </x:row>
    <x:row r="16">
      <x:c r="A16" s="19" t="str">
        <x:v>reward_unlock_option_chance</x:v>
      </x:c>
      <x:c r="B16" s="25" t="n">
        <x:v>0.5</x:v>
      </x:c>
      <x:c r="C16" s="20" t="str">
        <x:v>小数</x:v>
      </x:c>
      <x:c r="D16" s="21" t="str">
        <x:v>每次三选一的首项为解锁格子的概率</x:v>
      </x:c>
    </x:row>
    <x:row r="17">
      <x:c r="A17" s="19" t="str">
        <x:v>reward_owned_option_chance</x:v>
      </x:c>
      <x:c r="B17" s="25" t="n">
        <x:v>0.75</x:v>
      </x:c>
      <x:c r="C17" s="20" t="str">
        <x:v>小数</x:v>
      </x:c>
      <x:c r="D17" s="21" t="str">
        <x:v>道具候选中至少出现1件已持有道具的概率</x:v>
      </x:c>
    </x:row>
    <x:row r="18">
      <x:c r="A18" s="19" t="str">
        <x:v>reward_unlock_count</x:v>
      </x:c>
      <x:c r="B18" s="25" t="n">
        <x:v>1</x:v>
      </x:c>
      <x:c r="C18" s="20" t="str">
        <x:v>整数</x:v>
      </x:c>
      <x:c r="D18" s="21" t="str">
        <x:v>普通奖励轮选择格子时获得的扩格次数</x:v>
      </x:c>
    </x:row>
    <x:row r="19">
      <x:c r="A19" s="19" t="str">
        <x:v>reward_highest_quality_unlock_count</x:v>
      </x:c>
      <x:c r="B19" s="25" t="n">
        <x:v>2</x:v>
      </x:c>
      <x:c r="C19" s="20" t="str">
        <x:v>整数</x:v>
      </x:c>
      <x:c r="D19" s="21" t="str">
        <x:v>候选含最高品质道具时选择格子获得的扩格次数</x:v>
      </x:c>
    </x:row>
    <x:row r="20">
      <x:c r="A20" s="22" t="str">
        <x:v>max_log_entries</x:v>
      </x:c>
      <x:c r="B20" s="26" t="n">
        <x:v>500</x:v>
      </x:c>
      <x:c r="C20" s="23" t="str">
        <x:v>整数</x:v>
      </x:c>
      <x:c r="D20" s="24" t="str">
        <x:v>本机最多保留的表演日志条数</x:v>
      </x:c>
    </x:row>
  </x:sheetData>
  <x:pageMargins left="0.7" right="0.7" top="0.75" bottom="0.75" header="0.3" footer="0.3"/>
  <x:tableParts count="1">
    <x:tablePart xmlns:r="http://schemas.openxmlformats.org/officeDocument/2006/relationships" r:id="Rccd957b218624f6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25" hidden="0" customWidth="1"/>
    <x:col min="2" max="2" width="4.25" hidden="0" customWidth="1"/>
    <x:col min="3" max="3" width="7.880000114440918" hidden="0" customWidth="1"/>
    <x:col min="4" max="4" width="11.5" hidden="0" customWidth="1"/>
    <x:col min="5" max="5" width="11.5" hidden="0" customWidth="1"/>
  </x:cols>
  <x:sheetData>
    <x:row r="1" ht="28" customHeight="1">
      <x:c r="A1" s="16" t="str">
        <x:v>品质</x:v>
      </x:c>
      <x:c r="B1" s="17" t="str">
        <x:v>排序</x:v>
      </x:c>
      <x:c r="C1" s="17" t="str">
        <x:v>界面颜色</x:v>
      </x:c>
      <x:c r="D1" s="17" t="str">
        <x:v>定位</x:v>
      </x:c>
      <x:c r="E1" s="18" t="str">
        <x:v>试玩掉落权重</x:v>
      </x:c>
    </x:row>
    <x:row r="2">
      <x:c r="A2" s="19" t="str">
        <x:v>红</x:v>
      </x:c>
      <x:c r="B2" s="20" t="n">
        <x:v>4</x:v>
      </x:c>
      <x:c r="C2" s="27" t="str">
        <x:v>#C94B48</x:v>
      </x:c>
      <x:c r="D2" s="20" t="str">
        <x:v>组合核心</x:v>
      </x:c>
      <x:c r="E2" s="29" t="n">
        <x:v>5</x:v>
      </x:c>
    </x:row>
    <x:row r="3">
      <x:c r="A3" s="19" t="str">
        <x:v>金</x:v>
      </x:c>
      <x:c r="B3" s="20" t="n">
        <x:v>3</x:v>
      </x:c>
      <x:c r="C3" s="27" t="str">
        <x:v>#C89B45</x:v>
      </x:c>
      <x:c r="D3" s="20" t="str">
        <x:v>子路线发动机</x:v>
      </x:c>
      <x:c r="E3" s="29" t="n">
        <x:v>15</x:v>
      </x:c>
    </x:row>
    <x:row r="4">
      <x:c r="A4" s="19" t="str">
        <x:v>紫</x:v>
      </x:c>
      <x:c r="B4" s="20" t="n">
        <x:v>2</x:v>
      </x:c>
      <x:c r="C4" s="27" t="str">
        <x:v>#7652A7</x:v>
      </x:c>
      <x:c r="D4" s="20" t="str">
        <x:v>稳定协作节点</x:v>
      </x:c>
      <x:c r="E4" s="29" t="n">
        <x:v>30</x:v>
      </x:c>
    </x:row>
    <x:row r="5">
      <x:c r="A5" s="22" t="str">
        <x:v>蓝</x:v>
      </x:c>
      <x:c r="B5" s="23" t="n">
        <x:v>1</x:v>
      </x:c>
      <x:c r="C5" s="28" t="str">
        <x:v>#3579B8</x:v>
      </x:c>
      <x:c r="D5" s="23" t="str">
        <x:v>基础连接道具</x:v>
      </x:c>
      <x:c r="E5" s="30" t="n">
        <x:v>50</x:v>
      </x:c>
    </x:row>
  </x:sheetData>
  <x:pageMargins left="0.7" right="0.7" top="0.75" bottom="0.75" header="0.3" footer="0.3"/>
  <x:tableParts count="1">
    <x:tablePart xmlns:r="http://schemas.openxmlformats.org/officeDocument/2006/relationships" r:id="R00d9d37b1fae49a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4.25" hidden="0" customWidth="1"/>
    <x:col min="4" max="4" width="48" hidden="0" customWidth="1"/>
  </x:cols>
  <x:sheetData>
    <x:row r="1" ht="28" customHeight="1">
      <x:c r="A1" s="33" t="str">
        <x:v>键名</x:v>
      </x:c>
      <x:c r="B1" s="34" t="str">
        <x:v>值</x:v>
      </x:c>
      <x:c r="C1" s="34" t="str">
        <x:v>类型</x:v>
      </x:c>
      <x:c r="D1" s="35" t="str">
        <x:v>说明</x:v>
      </x:c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  <x:c r="V1" s="36"/>
      <x:c r="W1" s="36"/>
      <x:c r="X1" s="36"/>
      <x:c r="Y1" s="36"/>
      <x:c r="Z1" s="36"/>
    </x:row>
    <x:row r="2">
      <x:c r="A2" s="19" t="str">
        <x:v>spotlight_segments</x:v>
      </x:c>
      <x:c r="B2" s="25" t="n">
        <x:v>3</x:v>
      </x:c>
      <x:c r="C2" s="20" t="str">
        <x:v>整数</x:v>
      </x:c>
      <x:c r="D2" s="21" t="str">
        <x:v>每场聚光表演段数</x:v>
      </x:c>
    </x:row>
    <x:row r="3">
      <x:c r="A3" s="19" t="str">
        <x:v>segment_duration_ms</x:v>
      </x:c>
      <x:c r="B3" s="25" t="n">
        <x:v>1800</x:v>
      </x:c>
      <x:c r="C3" s="20" t="str">
        <x:v>整数</x:v>
      </x:c>
      <x:c r="D3" s="21" t="str">
        <x:v>正常速度下单段节拍时长（毫秒）</x:v>
      </x:c>
    </x:row>
    <x:row r="4">
      <x:c r="A4" s="19" t="str">
        <x:v>intro_duration_ms</x:v>
      </x:c>
      <x:c r="B4" s="25" t="n">
        <x:v>650</x:v>
      </x:c>
      <x:c r="C4" s="20" t="str">
        <x:v>整数</x:v>
      </x:c>
      <x:c r="D4" s="21" t="str">
        <x:v>开场展示时长（毫秒）</x:v>
      </x:c>
    </x:row>
    <x:row r="5">
      <x:c r="A5" s="19" t="str">
        <x:v>event_duration_ms</x:v>
      </x:c>
      <x:c r="B5" s="25" t="n">
        <x:v>1600</x:v>
      </x:c>
      <x:c r="C5" s="20" t="str">
        <x:v>整数</x:v>
      </x:c>
      <x:c r="D5" s="21" t="str">
        <x:v>现场事件展示时长（毫秒）</x:v>
      </x:c>
    </x:row>
    <x:row r="6">
      <x:c r="A6" s="19" t="str">
        <x:v>event_response_window_ms</x:v>
      </x:c>
      <x:c r="B6" s="25" t="n">
        <x:v>1200</x:v>
      </x:c>
      <x:c r="C6" s="20" t="str">
        <x:v>整数</x:v>
      </x:c>
      <x:c r="D6" s="21" t="str">
        <x:v>负面事件可回应时间（毫秒）</x:v>
      </x:c>
    </x:row>
    <x:row r="7">
      <x:c r="A7" s="19" t="str">
        <x:v>beat_perfect_window</x:v>
      </x:c>
      <x:c r="B7" s="31" t="n">
        <x:v>0.12</x:v>
      </x:c>
      <x:c r="C7" s="20" t="str">
        <x:v>小数</x:v>
      </x:c>
      <x:c r="D7" s="21" t="str">
        <x:v>节拍中心左右的精准判定范围</x:v>
      </x:c>
    </x:row>
    <x:row r="8">
      <x:c r="A8" s="19" t="str">
        <x:v>beat_good_window</x:v>
      </x:c>
      <x:c r="B8" s="31" t="n">
        <x:v>0.28</x:v>
      </x:c>
      <x:c r="C8" s="20" t="str">
        <x:v>小数</x:v>
      </x:c>
      <x:c r="D8" s="21" t="str">
        <x:v>节拍中心左右的合拍判定范围</x:v>
      </x:c>
    </x:row>
    <x:row r="9">
      <x:c r="A9" s="19" t="str">
        <x:v>beat_perfect_bonus_rate</x:v>
      </x:c>
      <x:c r="B9" s="31" t="n">
        <x:v>0.04</x:v>
      </x:c>
      <x:c r="C9" s="20" t="str">
        <x:v>小数</x:v>
      </x:c>
      <x:c r="D9" s="21" t="str">
        <x:v>精准操作按当前聚光道具贡献增加的比例</x:v>
      </x:c>
    </x:row>
    <x:row r="10">
      <x:c r="A10" s="19" t="str">
        <x:v>beat_good_bonus_rate</x:v>
      </x:c>
      <x:c r="B10" s="31" t="n">
        <x:v>0.02</x:v>
      </x:c>
      <x:c r="C10" s="20" t="str">
        <x:v>小数</x:v>
      </x:c>
      <x:c r="D10" s="21" t="str">
        <x:v>合拍操作按当前聚光道具贡献增加的比例</x:v>
      </x:c>
    </x:row>
    <x:row r="11">
      <x:c r="A11" s="19" t="str">
        <x:v>spotlight_variable_share</x:v>
      </x:c>
      <x:c r="B11" s="31" t="n">
        <x:v>0.25</x:v>
      </x:c>
      <x:c r="C11" s="20" t="str">
        <x:v>小数</x:v>
      </x:c>
      <x:c r="D11" s="21" t="str">
        <x:v>发挥档位按当前聚光道具贡献计算的可变份额</x:v>
      </x:c>
    </x:row>
    <x:row r="12">
      <x:c r="A12" s="22" t="str">
        <x:v>event_chance</x:v>
      </x:c>
      <x:c r="B12" s="32" t="n">
        <x:v>1</x:v>
      </x:c>
      <x:c r="C12" s="23" t="str">
        <x:v>小数</x:v>
      </x:c>
      <x:c r="D12" s="24" t="str">
        <x:v>单场出现现场事件的概率</x:v>
      </x:c>
    </x:row>
  </x:sheetData>
  <x:pageMargins left="0.7" right="0.7" top="0.75" bottom="0.75" header="0.3" footer="0.3"/>
  <x:tableParts count="1">
    <x:tablePart xmlns:r="http://schemas.openxmlformats.org/officeDocument/2006/relationships" r:id="R08ab835bfcb7495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" hidden="0" customWidth="1"/>
    <x:col min="2" max="2" width="7.880000114440918" hidden="0" customWidth="1"/>
    <x:col min="3" max="3" width="4.25" hidden="0" customWidth="1"/>
    <x:col min="4" max="4" width="7.880000114440918" hidden="0" customWidth="1"/>
    <x:col min="5" max="5" width="7.880000114440918" hidden="0" customWidth="1"/>
    <x:col min="6" max="6" width="52" hidden="0" customWidth="1"/>
  </x:cols>
  <x:sheetData>
    <x:row r="1" ht="28" customHeight="1">
      <x:c r="A1" s="33" t="str">
        <x:v>档位ID</x:v>
      </x:c>
      <x:c r="B1" s="34" t="str">
        <x:v>名称</x:v>
      </x:c>
      <x:c r="C1" s="34" t="str">
        <x:v>权重</x:v>
      </x:c>
      <x:c r="D1" s="34" t="str">
        <x:v>额外倍率</x:v>
      </x:c>
      <x:c r="E1" s="34" t="str">
        <x:v>界面颜色</x:v>
      </x:c>
      <x:c r="F1" s="35" t="str">
        <x:v>说明</x:v>
      </x:c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  <x:c r="V1" s="36"/>
      <x:c r="W1" s="36"/>
      <x:c r="X1" s="36"/>
      <x:c r="Y1" s="36"/>
      <x:c r="Z1" s="36"/>
    </x:row>
    <x:row r="2">
      <x:c r="A2" s="19" t="str">
        <x:v>steady</x:v>
      </x:c>
      <x:c r="B2" s="20" t="str">
        <x:v>稳定发挥</x:v>
      </x:c>
      <x:c r="C2" s="20" t="n">
        <x:v>65</x:v>
      </x:c>
      <x:c r="D2" s="20" t="n">
        <x:v>0</x:v>
      </x:c>
      <x:c r="E2" s="20" t="str">
        <x:v>#7FB3C8</x:v>
      </x:c>
      <x:c r="F2" s="21" t="str">
        <x:v>保持基础背包得分</x:v>
      </x:c>
    </x:row>
    <x:row r="3">
      <x:c r="A3" s="19" t="str">
        <x:v>inspired</x:v>
      </x:c>
      <x:c r="B3" s="20" t="str">
        <x:v>灵感迸发</x:v>
      </x:c>
      <x:c r="C3" s="20" t="n">
        <x:v>30</x:v>
      </x:c>
      <x:c r="D3" s="20" t="n">
        <x:v>0.3</x:v>
      </x:c>
      <x:c r="E3" s="20" t="str">
        <x:v>#D3A94E</x:v>
      </x:c>
      <x:c r="F3" s="21" t="str">
        <x:v>聚光道具的可变份额获得30%额外收益</x:v>
      </x:c>
    </x:row>
    <x:row r="4">
      <x:c r="A4" s="22" t="str">
        <x:v>brilliant</x:v>
      </x:c>
      <x:c r="B4" s="23" t="str">
        <x:v>惊艳全场</x:v>
      </x:c>
      <x:c r="C4" s="23" t="n">
        <x:v>5</x:v>
      </x:c>
      <x:c r="D4" s="23" t="n">
        <x:v>1</x:v>
      </x:c>
      <x:c r="E4" s="23" t="str">
        <x:v>#E46A56</x:v>
      </x:c>
      <x:c r="F4" s="24" t="str">
        <x:v>聚光道具的可变份额获得100%额外收益</x:v>
      </x:c>
    </x:row>
  </x:sheetData>
  <x:pageMargins left="0.7" right="0.7" top="0.75" bottom="0.75" header="0.3" footer="0.3"/>
  <x:tableParts count="1">
    <x:tablePart xmlns:r="http://schemas.openxmlformats.org/officeDocument/2006/relationships" r:id="R935a212602984ab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880000114440918" hidden="0" customWidth="1"/>
    <x:col min="2" max="2" width="20" hidden="0" customWidth="1"/>
    <x:col min="3" max="3" width="4.25" hidden="0" customWidth="1"/>
    <x:col min="4" max="4" width="4.25" hidden="0" customWidth="1"/>
    <x:col min="5" max="5" width="7.880000114440918" hidden="0" customWidth="1"/>
    <x:col min="6" max="6" width="7.880000114440918" hidden="0" customWidth="1"/>
    <x:col min="7" max="7" width="11.5" hidden="0" customWidth="1"/>
    <x:col min="8" max="8" width="52" hidden="0" customWidth="1"/>
  </x:cols>
  <x:sheetData>
    <x:row r="1" ht="28" customHeight="1">
      <x:c r="A1" s="33" t="str">
        <x:v>事件ID</x:v>
      </x:c>
      <x:c r="B1" s="34" t="str">
        <x:v>名称</x:v>
      </x:c>
      <x:c r="C1" s="34" t="str">
        <x:v>类型</x:v>
      </x:c>
      <x:c r="D1" s="34" t="str">
        <x:v>权重</x:v>
      </x:c>
      <x:c r="E1" s="34" t="str">
        <x:v>分数比例</x:v>
      </x:c>
      <x:c r="F1" s="34" t="str">
        <x:v>回应操作</x:v>
      </x:c>
      <x:c r="G1" s="34" t="str">
        <x:v>回应减免比例</x:v>
      </x:c>
      <x:c r="H1" s="35" t="str">
        <x:v>说明</x:v>
      </x:c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  <x:c r="V1" s="36"/>
      <x:c r="W1" s="36"/>
      <x:c r="X1" s="36"/>
      <x:c r="Y1" s="36"/>
      <x:c r="Z1" s="36"/>
    </x:row>
    <x:row r="2">
      <x:c r="A2" s="19" t="str">
        <x:v>EV01</x:v>
      </x:c>
      <x:c r="B2" s="20" t="str">
        <x:v>热情掌声</x:v>
      </x:c>
      <x:c r="C2" s="20" t="str">
        <x:v>正面</x:v>
      </x:c>
      <x:c r="D2" s="20" t="n">
        <x:v>18</x:v>
      </x:c>
      <x:c r="E2" s="20" t="n">
        <x:v>0.05</x:v>
      </x:c>
      <x:c r="F2" s="20" t="str"/>
      <x:c r="G2" s="20" t="n">
        <x:v>0</x:v>
      </x:c>
      <x:c r="H2" s="21" t="str">
        <x:v>观众情绪被点燃，本场总分提高5%</x:v>
      </x:c>
    </x:row>
    <x:row r="3">
      <x:c r="A3" s="19" t="str">
        <x:v>EV02</x:v>
      </x:c>
      <x:c r="B3" s="20" t="str">
        <x:v>现场分享</x:v>
      </x:c>
      <x:c r="C3" s="20" t="str">
        <x:v>正面</x:v>
      </x:c>
      <x:c r="D3" s="20" t="n">
        <x:v>16</x:v>
      </x:c>
      <x:c r="E3" s="20" t="n">
        <x:v>0.04</x:v>
      </x:c>
      <x:c r="F3" s="20" t="str"/>
      <x:c r="G3" s="20" t="n">
        <x:v>0</x:v>
      </x:c>
      <x:c r="H3" s="21" t="str">
        <x:v>表演片段被即时分享，本场总分提高4%</x:v>
      </x:c>
    </x:row>
    <x:row r="4">
      <x:c r="A4" s="19" t="str">
        <x:v>EV03</x:v>
      </x:c>
      <x:c r="B4" s="20" t="str">
        <x:v>默契合唱</x:v>
      </x:c>
      <x:c r="C4" s="20" t="str">
        <x:v>正面</x:v>
      </x:c>
      <x:c r="D4" s="20" t="n">
        <x:v>14</x:v>
      </x:c>
      <x:c r="E4" s="20" t="n">
        <x:v>0.06</x:v>
      </x:c>
      <x:c r="F4" s="20" t="str"/>
      <x:c r="G4" s="20" t="n">
        <x:v>0</x:v>
      </x:c>
      <x:c r="H4" s="21" t="str">
        <x:v>观众加入合唱，本场总分提高6%</x:v>
      </x:c>
    </x:row>
    <x:row r="5">
      <x:c r="A5" s="19" t="str">
        <x:v>EV04</x:v>
      </x:c>
      <x:c r="B5" s="20" t="str">
        <x:v>粉丝中途离开</x:v>
      </x:c>
      <x:c r="C5" s="20" t="str">
        <x:v>挑战</x:v>
      </x:c>
      <x:c r="D5" s="20" t="n">
        <x:v>14</x:v>
      </x:c>
      <x:c r="E5" s="20" t="n">
        <x:v>-0.05</x:v>
      </x:c>
      <x:c r="F5" s="20" t="str">
        <x:v>返场挽留</x:v>
      </x:c>
      <x:c r="G5" s="20" t="n">
        <x:v>0.8</x:v>
      </x:c>
      <x:c r="H5" s="21" t="str">
        <x:v>及时回应可消除80%的分数损失</x:v>
      </x:c>
    </x:row>
    <x:row r="6">
      <x:c r="A6" s="19" t="str">
        <x:v>EV05</x:v>
      </x:c>
      <x:c r="B6" s="20" t="str">
        <x:v>话筒啸叫</x:v>
      </x:c>
      <x:c r="C6" s="20" t="str">
        <x:v>挑战</x:v>
      </x:c>
      <x:c r="D6" s="20" t="n">
        <x:v>14</x:v>
      </x:c>
      <x:c r="E6" s="20" t="n">
        <x:v>-0.04</x:v>
      </x:c>
      <x:c r="F6" s="20" t="str">
        <x:v>调整话筒</x:v>
      </x:c>
      <x:c r="G6" s="20" t="n">
        <x:v>1</x:v>
      </x:c>
      <x:c r="H6" s="21" t="str">
        <x:v>及时回应可完全消除分数损失</x:v>
      </x:c>
    </x:row>
    <x:row r="7">
      <x:c r="A7" s="19" t="str">
        <x:v>EV06</x:v>
      </x:c>
      <x:c r="B7" s="20" t="str">
        <x:v>灯光偏移</x:v>
      </x:c>
      <x:c r="C7" s="20" t="str">
        <x:v>挑战</x:v>
      </x:c>
      <x:c r="D7" s="20" t="n">
        <x:v>12</x:v>
      </x:c>
      <x:c r="E7" s="20" t="n">
        <x:v>-0.03</x:v>
      </x:c>
      <x:c r="F7" s="20" t="str">
        <x:v>追上聚光</x:v>
      </x:c>
      <x:c r="G7" s="20" t="n">
        <x:v>0.7</x:v>
      </x:c>
      <x:c r="H7" s="21" t="str">
        <x:v>及时回应可消除70%的分数损失</x:v>
      </x:c>
    </x:row>
    <x:row r="8">
      <x:c r="A8" s="22" t="str">
        <x:v>EV07</x:v>
      </x:c>
      <x:c r="B8" s="23" t="str">
        <x:v>节拍干扰</x:v>
      </x:c>
      <x:c r="C8" s="23" t="str">
        <x:v>挑战</x:v>
      </x:c>
      <x:c r="D8" s="23" t="n">
        <x:v>12</x:v>
      </x:c>
      <x:c r="E8" s="23" t="n">
        <x:v>-0.04</x:v>
      </x:c>
      <x:c r="F8" s="23" t="str">
        <x:v>稳住节拍</x:v>
      </x:c>
      <x:c r="G8" s="23" t="n">
        <x:v>0.75</x:v>
      </x:c>
      <x:c r="H8" s="24" t="str">
        <x:v>及时回应可消除75%的分数损失</x:v>
      </x:c>
    </x:row>
  </x:sheetData>
  <x:pageMargins left="0.7" right="0.7" top="0.75" bottom="0.75" header="0.3" footer="0.3"/>
  <x:tableParts count="1">
    <x:tablePart xmlns:r="http://schemas.openxmlformats.org/officeDocument/2006/relationships" r:id="R33b93269e74e407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880000114440918" hidden="0" customWidth="1"/>
    <x:col min="2" max="2" width="7.880000114440918" hidden="0" customWidth="1"/>
    <x:col min="3" max="3" width="11.5" hidden="0" customWidth="1"/>
    <x:col min="4" max="4" width="48" hidden="0" customWidth="1"/>
  </x:cols>
  <x:sheetData>
    <x:row r="1" ht="28" customHeight="1">
      <x:c r="A1" s="33" t="str">
        <x:v>种类</x:v>
      </x:c>
      <x:c r="B1" s="34" t="str">
        <x:v>聚光权重</x:v>
      </x:c>
      <x:c r="C1" s="34" t="str">
        <x:v>节拍窗口修正</x:v>
      </x:c>
      <x:c r="D1" s="35" t="str">
        <x:v>表演定位</x:v>
      </x:c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  <x:c r="V1" s="36"/>
      <x:c r="W1" s="36"/>
      <x:c r="X1" s="36"/>
      <x:c r="Y1" s="36"/>
      <x:c r="Z1" s="36"/>
    </x:row>
    <x:row r="2">
      <x:c r="A2" s="19" t="str">
        <x:v>键盘乐器</x:v>
      </x:c>
      <x:c r="B2" s="20" t="n">
        <x:v>1.1</x:v>
      </x:c>
      <x:c r="C2" s="20" t="n">
        <x:v>0.01</x:v>
      </x:c>
      <x:c r="D2" s="21" t="str">
        <x:v>稳定的舞台核心，更容易成为聚光段落</x:v>
      </x:c>
    </x:row>
    <x:row r="3">
      <x:c r="A3" s="19" t="str">
        <x:v>弦乐器</x:v>
      </x:c>
      <x:c r="B3" s="20" t="n">
        <x:v>1.05</x:v>
      </x:c>
      <x:c r="C3" s="20" t="n">
        <x:v>0</x:v>
      </x:c>
      <x:c r="D3" s="21" t="str">
        <x:v>连续旋律适合承接多段聚光</x:v>
      </x:c>
    </x:row>
    <x:row r="4">
      <x:c r="A4" s="19" t="str">
        <x:v>管乐器</x:v>
      </x:c>
      <x:c r="B4" s="20" t="n">
        <x:v>1</x:v>
      </x:c>
      <x:c r="C4" s="20" t="n">
        <x:v>-0.01</x:v>
      </x:c>
      <x:c r="D4" s="21" t="str">
        <x:v>爆发音色更依赖发挥档位</x:v>
      </x:c>
    </x:row>
    <x:row r="5">
      <x:c r="A5" s="19" t="str">
        <x:v>打击乐器</x:v>
      </x:c>
      <x:c r="B5" s="20" t="n">
        <x:v>1.1</x:v>
      </x:c>
      <x:c r="C5" s="20" t="n">
        <x:v>0.03</x:v>
      </x:c>
      <x:c r="D5" s="21" t="str">
        <x:v>节奏清晰，节拍操作窗口更宽</x:v>
      </x:c>
    </x:row>
    <x:row r="6">
      <x:c r="A6" s="19" t="str">
        <x:v>服装</x:v>
      </x:c>
      <x:c r="B6" s="20" t="n">
        <x:v>0.85</x:v>
      </x:c>
      <x:c r="C6" s="20" t="n">
        <x:v>0.04</x:v>
      </x:c>
      <x:c r="D6" s="21" t="str">
        <x:v>动作表现明确，节拍操作窗口更宽</x:v>
      </x:c>
    </x:row>
    <x:row r="7">
      <x:c r="A7" s="22" t="str">
        <x:v>舞台装饰</x:v>
      </x:c>
      <x:c r="B7" s="23" t="n">
        <x:v>0.8</x:v>
      </x:c>
      <x:c r="C7" s="23" t="n">
        <x:v>0.02</x:v>
      </x:c>
      <x:c r="D7" s="24" t="str">
        <x:v>提供舞台变化并承担事件表现</x:v>
      </x:c>
    </x:row>
  </x:sheetData>
  <x:pageMargins left="0.7" right="0.7" top="0.75" bottom="0.75" header="0.3" footer="0.3"/>
  <x:tableParts count="1">
    <x:tablePart xmlns:r="http://schemas.openxmlformats.org/officeDocument/2006/relationships" r:id="R09ec99b34a7e45f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5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2.380000114440918" hidden="0" customWidth="1"/>
    <x:col min="7" max="7" width="2.380000114440918" hidden="0" customWidth="1"/>
    <x:col min="8" max="8" width="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2.25" hidden="0" customWidth="1"/>
    <x:col min="14" max="14" width="12.25" hidden="0" customWidth="1"/>
    <x:col min="15" max="15" width="12.25" hidden="0" customWidth="1"/>
    <x:col min="16" max="16" width="12.25" hidden="0" customWidth="1"/>
    <x:col min="17" max="17" width="12.25" hidden="0" customWidth="1"/>
    <x:col min="18" max="18" width="8.5" hidden="0" customWidth="1"/>
    <x:col min="19" max="19" width="8.5" hidden="0" customWidth="1"/>
    <x:col min="20" max="20" width="8.5" hidden="0" customWidth="1"/>
    <x:col min="21" max="21" width="8.5" hidden="0" customWidth="1"/>
    <x:col min="22" max="22" width="8.5" hidden="0" customWidth="1"/>
    <x:col min="23" max="23" width="52" hidden="0" customWidth="1"/>
    <x:col min="24" max="24" width="68" hidden="0" customWidth="1"/>
  </x:cols>
  <x:sheetData>
    <x:row r="1" ht="28" customHeight="1">
      <x:c r="A1" s="16" t="str">
        <x:v>ID</x:v>
      </x:c>
      <x:c r="B1" s="34" t="str">
        <x:v>名称</x:v>
      </x:c>
      <x:c r="C1" s="34" t="str">
        <x:v>种类</x:v>
      </x:c>
      <x:c r="D1" s="34" t="str">
        <x:v>风格标签</x:v>
      </x:c>
      <x:c r="E1" s="17" t="str">
        <x:v>品质</x:v>
      </x:c>
      <x:c r="F1" s="17" t="str">
        <x:v>宽</x:v>
      </x:c>
      <x:c r="G1" s="17" t="str">
        <x:v>高</x:v>
      </x:c>
      <x:c r="H1" s="17" t="str">
        <x:v>占格数</x:v>
      </x:c>
      <x:c r="I1" s="34" t="str">
        <x:v>限制文本</x:v>
      </x:c>
      <x:c r="J1" s="17" t="str">
        <x:v>限制范围</x:v>
      </x:c>
      <x:c r="K1" s="17" t="str">
        <x:v>限制键</x:v>
      </x:c>
      <x:c r="L1" s="17" t="str">
        <x:v>限制数量</x:v>
      </x:c>
      <x:c r="M1" s="17" t="str">
        <x:v>基础表演值Lv1</x:v>
      </x:c>
      <x:c r="N1" s="17" t="str">
        <x:v>基础表演值Lv2</x:v>
      </x:c>
      <x:c r="O1" s="17" t="str">
        <x:v>基础表演值Lv3</x:v>
      </x:c>
      <x:c r="P1" s="17" t="str">
        <x:v>基础表演值Lv4</x:v>
      </x:c>
      <x:c r="Q1" s="17" t="str">
        <x:v>基础表演值Lv5</x:v>
      </x:c>
      <x:c r="R1" s="17" t="str">
        <x:v>效果值Lv1</x:v>
      </x:c>
      <x:c r="S1" s="17" t="str">
        <x:v>效果值Lv2</x:v>
      </x:c>
      <x:c r="T1" s="17" t="str">
        <x:v>效果值Lv3</x:v>
      </x:c>
      <x:c r="U1" s="17" t="str">
        <x:v>效果值Lv4</x:v>
      </x:c>
      <x:c r="V1" s="17" t="str">
        <x:v>效果值Lv5</x:v>
      </x:c>
      <x:c r="W1" s="34" t="str">
        <x:v>效果规则JSON</x:v>
      </x:c>
      <x:c r="X1" s="35" t="str">
        <x:v>效果描述</x:v>
      </x:c>
    </x:row>
    <x:row r="2" ht="42" customHeight="1">
      <x:c r="A2" s="39" t="str">
        <x:v>KB01</x:v>
      </x:c>
      <x:c r="B2" s="40" t="str">
        <x:v>音乐厅管风琴</x:v>
      </x:c>
      <x:c r="C2" s="40" t="str">
        <x:v>键盘乐器</x:v>
      </x:c>
      <x:c r="D2" s="40" t="str">
        <x:v>古典</x:v>
      </x:c>
      <x:c r="E2" s="40" t="str">
        <x:v>红</x:v>
      </x:c>
      <x:c r="F2" s="37" t="n">
        <x:v>3</x:v>
      </x:c>
      <x:c r="G2" s="37" t="n">
        <x:v>4</x:v>
      </x:c>
      <x:c r="H2" s="37" t="n">
        <x:f>F2*G2</x:f>
        <x:v>12</x:v>
      </x:c>
      <x:c r="I2" s="43" t="str">
        <x:v>键盘乐器合计1件</x:v>
      </x:c>
      <x:c r="J2" s="43" t="str">
        <x:v>种类</x:v>
      </x:c>
      <x:c r="K2" s="43" t="str">
        <x:v>键盘乐器</x:v>
      </x:c>
      <x:c r="L2" s="43" t="n">
        <x:v>1</x:v>
      </x:c>
      <x:c r="M2" s="43" t="n">
        <x:v>123</x:v>
      </x:c>
      <x:c r="N2" s="43" t="n">
        <x:v>160</x:v>
      </x:c>
      <x:c r="O2" s="43" t="n">
        <x:v>203</x:v>
      </x:c>
      <x:c r="P2" s="43" t="n">
        <x:v>252</x:v>
      </x:c>
      <x:c r="Q2" s="43" t="n">
        <x:v>308</x:v>
      </x:c>
      <x:c r="R2" s="43" t="n">
        <x:v>12</x:v>
      </x:c>
      <x:c r="S2" s="43" t="n">
        <x:v>15</x:v>
      </x:c>
      <x:c r="T2" s="43" t="n">
        <x:v>19</x:v>
      </x:c>
      <x:c r="U2" s="43" t="n">
        <x:v>24</x:v>
      </x:c>
      <x:c r="V2" s="43" t="n">
        <x:v>30</x:v>
      </x:c>
      <x:c r="W2" s="40" t="str">
        <x:v>{"type":"condition","clauses":[{"scope":"global","filter":{"category":["弦乐器"]},"min":1,"max":null,"cap":null,"excludeSource":true,"directions":[]},{"scope":"global","filter":{"category":["管乐器"]},"min":1,"max":null,"cap":null,"excludeSource":true,"directions":[]},{"scope":"global","filter":{"category":["打击乐器"]},"min":1,"max":null,"cap":null,"excludeSource":true,"directions":[]}],"valueMode":"percent","recipient":"self"}</x:v>
      </x:c>
      <x:c r="X2" s="44" t="str">
        <x:v>背包中弦乐器、管乐器和打击乐器各至少1件时，自身表演值增加[12／15／19／24／30]%</x:v>
      </x:c>
    </x:row>
    <x:row r="3" ht="42" customHeight="1">
      <x:c r="A3" s="39" t="str">
        <x:v>KB02</x:v>
      </x:c>
      <x:c r="B3" s="40" t="str">
        <x:v>音乐会三角钢琴</x:v>
      </x:c>
      <x:c r="C3" s="40" t="str">
        <x:v>键盘乐器</x:v>
      </x:c>
      <x:c r="D3" s="40" t="str">
        <x:v>古典</x:v>
      </x:c>
      <x:c r="E3" s="40" t="str">
        <x:v>金</x:v>
      </x:c>
      <x:c r="F3" s="37" t="n">
        <x:v>3</x:v>
      </x:c>
      <x:c r="G3" s="37" t="n">
        <x:v>3</x:v>
      </x:c>
      <x:c r="H3" s="37" t="n">
        <x:f>F3*G3</x:f>
        <x:v>9</x:v>
      </x:c>
      <x:c r="I3" s="43" t="str">
        <x:v>键盘乐器合计1件</x:v>
      </x:c>
      <x:c r="J3" s="43" t="str">
        <x:v>种类</x:v>
      </x:c>
      <x:c r="K3" s="43" t="str">
        <x:v>键盘乐器</x:v>
      </x:c>
      <x:c r="L3" s="43" t="n">
        <x:v>1</x:v>
      </x:c>
      <x:c r="M3" s="43" t="n">
        <x:v>83</x:v>
      </x:c>
      <x:c r="N3" s="43" t="n">
        <x:v>108</x:v>
      </x:c>
      <x:c r="O3" s="43" t="n">
        <x:v>137</x:v>
      </x:c>
      <x:c r="P3" s="43" t="n">
        <x:v>170</x:v>
      </x:c>
      <x:c r="Q3" s="43" t="n">
        <x:v>208</x:v>
      </x:c>
      <x:c r="R3" s="43" t="n">
        <x:v>5</x:v>
      </x:c>
      <x:c r="S3" s="43" t="n">
        <x:v>6</x:v>
      </x:c>
      <x:c r="T3" s="43" t="n">
        <x:v>8</x:v>
      </x:c>
      <x:c r="U3" s="43" t="n">
        <x:v>10</x:v>
      </x:c>
      <x:c r="V3" s="43" t="n">
        <x:v>12</x:v>
      </x:c>
      <x:c r="W3" s="40" t="str">
        <x:v>{"type":"targetBuff","scope":"adjacent","filter":{"category":["键盘乐器","弦乐器","管乐器","打击乐器"]},"cap":4,"excludeSource":true,"directions":[],"excludeAdjacent":false,"valueMode":"percent"}</x:v>
      </x:c>
      <x:c r="X3" s="44" t="str">
        <x:v>使相邻的乐器道具各增加[5／6／8／10／12]%表演值，最多4件</x:v>
      </x:c>
    </x:row>
    <x:row r="4" ht="42" customHeight="1">
      <x:c r="A4" s="39" t="str">
        <x:v>KB03</x:v>
      </x:c>
      <x:c r="B4" s="40" t="str">
        <x:v>双层羽管键琴</x:v>
      </x:c>
      <x:c r="C4" s="40" t="str">
        <x:v>键盘乐器</x:v>
      </x:c>
      <x:c r="D4" s="40" t="str">
        <x:v>古典</x:v>
      </x:c>
      <x:c r="E4" s="40" t="str">
        <x:v>金</x:v>
      </x:c>
      <x:c r="F4" s="37" t="n">
        <x:v>2</x:v>
      </x:c>
      <x:c r="G4" s="37" t="n">
        <x:v>2</x:v>
      </x:c>
      <x:c r="H4" s="37" t="n">
        <x:f>F4*G4</x:f>
        <x:v>4</x:v>
      </x:c>
      <x:c r="I4" s="43" t="str">
        <x:v>键盘乐器合计1件</x:v>
      </x:c>
      <x:c r="J4" s="43" t="str">
        <x:v>种类</x:v>
      </x:c>
      <x:c r="K4" s="43" t="str">
        <x:v>键盘乐器</x:v>
      </x:c>
      <x:c r="L4" s="43" t="n">
        <x:v>1</x:v>
      </x:c>
      <x:c r="M4" s="43" t="n">
        <x:v>48</x:v>
      </x:c>
      <x:c r="N4" s="43" t="n">
        <x:v>62</x:v>
      </x:c>
      <x:c r="O4" s="43" t="n">
        <x:v>79</x:v>
      </x:c>
      <x:c r="P4" s="43" t="n">
        <x:v>98</x:v>
      </x:c>
      <x:c r="Q4" s="43" t="n">
        <x:v>120</x:v>
      </x:c>
      <x:c r="R4" s="43" t="n">
        <x:v>5</x:v>
      </x:c>
      <x:c r="S4" s="43" t="n">
        <x:v>6</x:v>
      </x:c>
      <x:c r="T4" s="43" t="n">
        <x:v>8</x:v>
      </x:c>
      <x:c r="U4" s="43" t="n">
        <x:v>10</x:v>
      </x:c>
      <x:c r="V4" s="43" t="n">
        <x:v>12</x:v>
      </x:c>
      <x:c r="W4" s="40" t="str">
        <x:v>{"type":"groupBuff","clauses":[{"scope":"direction","filter":{"category":["弦乐器"]},"min":1,"max":null,"cap":null,"excludeSource":true,"directions":["left"]},{"scope":"direction","filter":{"category":["管乐器"]},"min":1,"max":null,"cap":null,"excludeSource":true,"directions":["right"]}],"recipients":{"scope":"direction","directions":["left","right"],"filter":{"category":["弦乐器","管乐器"]},"cap":4,"includeSource":false},"valueMode":"percent"}</x:v>
      </x:c>
      <x:c r="X4" s="44" t="str">
        <x:v>左侧至少有1件弦乐器，且右侧至少有1件管乐器时，使两侧符合条件的道具各增加[5／6／8／10／12]%表演值，最多4件</x:v>
      </x:c>
    </x:row>
    <x:row r="5" ht="42" customHeight="1">
      <x:c r="A5" s="39" t="str">
        <x:v>KB04</x:v>
      </x:c>
      <x:c r="B5" s="40" t="str">
        <x:v>穆斯特尔钢片琴</x:v>
      </x:c>
      <x:c r="C5" s="40" t="str">
        <x:v>键盘乐器</x:v>
      </x:c>
      <x:c r="D5" s="40" t="str">
        <x:v>现代</x:v>
      </x:c>
      <x:c r="E5" s="40" t="str">
        <x:v>紫</x:v>
      </x:c>
      <x:c r="F5" s="37" t="n">
        <x:v>2</x:v>
      </x:c>
      <x:c r="G5" s="37" t="n">
        <x:v>3</x:v>
      </x:c>
      <x:c r="H5" s="37" t="n">
        <x:f>F5*G5</x:f>
        <x:v>6</x:v>
      </x:c>
      <x:c r="I5" s="43" t="str">
        <x:v>键盘乐器合计1件</x:v>
      </x:c>
      <x:c r="J5" s="43" t="str">
        <x:v>种类</x:v>
      </x:c>
      <x:c r="K5" s="43" t="str">
        <x:v>键盘乐器</x:v>
      </x:c>
      <x:c r="L5" s="43" t="n">
        <x:v>1</x:v>
      </x:c>
      <x:c r="M5" s="43" t="n">
        <x:v>49</x:v>
      </x:c>
      <x:c r="N5" s="43" t="n">
        <x:v>64</x:v>
      </x:c>
      <x:c r="O5" s="43" t="n">
        <x:v>81</x:v>
      </x:c>
      <x:c r="P5" s="43" t="n">
        <x:v>100</x:v>
      </x:c>
      <x:c r="Q5" s="43" t="n">
        <x:v>123</x:v>
      </x:c>
      <x:c r="R5" s="43" t="n">
        <x:v>5</x:v>
      </x:c>
      <x:c r="S5" s="43" t="n">
        <x:v>7</x:v>
      </x:c>
      <x:c r="T5" s="43" t="n">
        <x:v>9</x:v>
      </x:c>
      <x:c r="U5" s="43" t="n">
        <x:v>11</x:v>
      </x:c>
      <x:c r="V5" s="43" t="n">
        <x:v>14</x:v>
      </x:c>
      <x:c r="W5" s="40" t="str">
        <x:v>{"type":"targetBuff","scope":"direction","filter":{"category":["键盘乐器","弦乐器","管乐器","打击乐器"]},"cap":4,"excludeSource":true,"directions":["up","down"],"excludeAdjacent":false,"valueMode":"absolute"}</x:v>
      </x:c>
      <x:c r="X5" s="44" t="str">
        <x:v>使上方和下方的乐器道具各增加[5／7／9／11／14]表演值，最多4件</x:v>
      </x:c>
    </x:row>
    <x:row r="6" ht="42" customHeight="1">
      <x:c r="A6" s="39" t="str">
        <x:v>KB05</x:v>
      </x:c>
      <x:c r="B6" s="40" t="str">
        <x:v>音乐会簧风琴</x:v>
      </x:c>
      <x:c r="C6" s="40" t="str">
        <x:v>键盘乐器</x:v>
      </x:c>
      <x:c r="D6" s="40" t="str">
        <x:v>现代</x:v>
      </x:c>
      <x:c r="E6" s="40" t="str">
        <x:v>紫</x:v>
      </x:c>
      <x:c r="F6" s="37" t="n">
        <x:v>3</x:v>
      </x:c>
      <x:c r="G6" s="37" t="n">
        <x:v>2</x:v>
      </x:c>
      <x:c r="H6" s="37" t="n">
        <x:f>F6*G6</x:f>
        <x:v>6</x:v>
      </x:c>
      <x:c r="I6" s="43" t="str">
        <x:v>键盘乐器合计1件</x:v>
      </x:c>
      <x:c r="J6" s="43" t="str">
        <x:v>种类</x:v>
      </x:c>
      <x:c r="K6" s="43" t="str">
        <x:v>键盘乐器</x:v>
      </x:c>
      <x:c r="L6" s="43" t="n">
        <x:v>1</x:v>
      </x:c>
      <x:c r="M6" s="43" t="n">
        <x:v>49</x:v>
      </x:c>
      <x:c r="N6" s="43" t="n">
        <x:v>64</x:v>
      </x:c>
      <x:c r="O6" s="43" t="n">
        <x:v>81</x:v>
      </x:c>
      <x:c r="P6" s="43" t="n">
        <x:v>100</x:v>
      </x:c>
      <x:c r="Q6" s="43" t="n">
        <x:v>123</x:v>
      </x:c>
      <x:c r="R6" s="43" t="n">
        <x:v>5</x:v>
      </x:c>
      <x:c r="S6" s="43" t="n">
        <x:v>7</x:v>
      </x:c>
      <x:c r="T6" s="43" t="n">
        <x:v>9</x:v>
      </x:c>
      <x:c r="U6" s="43" t="n">
        <x:v>11</x:v>
      </x:c>
      <x:c r="V6" s="43" t="n">
        <x:v>14</x:v>
      </x:c>
      <x:c r="W6" s="40" t="str">
        <x:v>{"type":"targetBuff","scope":"global","filter":{"category":["键盘乐器","弦乐器","管乐器","打击乐器"]},"cap":4,"excludeSource":true,"directions":[],"excludeAdjacent":false,"valueMode":"absolute"}</x:v>
      </x:c>
      <x:c r="X6" s="44" t="str">
        <x:v>使背包中的乐器道具各增加[5／7／9／11／14]表演值，最多4件，不计自身</x:v>
      </x:c>
    </x:row>
    <x:row r="7" ht="42" customHeight="1">
      <x:c r="A7" s="39" t="str">
        <x:v>KB06</x:v>
      </x:c>
      <x:c r="B7" s="40" t="str">
        <x:v>维也纳方形钢琴</x:v>
      </x:c>
      <x:c r="C7" s="40" t="str">
        <x:v>键盘乐器</x:v>
      </x:c>
      <x:c r="D7" s="40" t="str">
        <x:v>古典</x:v>
      </x:c>
      <x:c r="E7" s="40" t="str">
        <x:v>紫</x:v>
      </x:c>
      <x:c r="F7" s="37" t="n">
        <x:v>2</x:v>
      </x:c>
      <x:c r="G7" s="37" t="n">
        <x:v>2</x:v>
      </x:c>
      <x:c r="H7" s="37" t="n">
        <x:f>F7*G7</x:f>
        <x:v>4</x:v>
      </x:c>
      <x:c r="I7" s="43" t="str">
        <x:v>键盘乐器合计1件</x:v>
      </x:c>
      <x:c r="J7" s="43" t="str">
        <x:v>种类</x:v>
      </x:c>
      <x:c r="K7" s="43" t="str">
        <x:v>键盘乐器</x:v>
      </x:c>
      <x:c r="L7" s="43" t="n">
        <x:v>1</x:v>
      </x:c>
      <x:c r="M7" s="43" t="n">
        <x:v>38</x:v>
      </x:c>
      <x:c r="N7" s="43" t="n">
        <x:v>49</x:v>
      </x:c>
      <x:c r="O7" s="43" t="n">
        <x:v>63</x:v>
      </x:c>
      <x:c r="P7" s="43" t="n">
        <x:v>78</x:v>
      </x:c>
      <x:c r="Q7" s="43" t="n">
        <x:v>95</x:v>
      </x:c>
      <x:c r="R7" s="43" t="n">
        <x:v>38</x:v>
      </x:c>
      <x:c r="S7" s="43" t="n">
        <x:v>49</x:v>
      </x:c>
      <x:c r="T7" s="43" t="n">
        <x:v>63</x:v>
      </x:c>
      <x:c r="U7" s="43" t="n">
        <x:v>78</x:v>
      </x:c>
      <x:c r="V7" s="43" t="n">
        <x:v>95</x:v>
      </x:c>
      <x:c r="W7" s="40" t="str">
        <x:v>{"type":"condition","clauses":[{"scope":"adjacent","filter":{"category":["键盘乐器","弦乐器","管乐器","打击乐器"]},"min":null,"max":2,"cap":null,"excludeSource":true,"directions":[]}],"valueMode":"absolute","recipient":"self"}</x:v>
      </x:c>
      <x:c r="X7" s="44" t="str">
        <x:v>相邻的乐器道具不超过2件时，自身增加[38／49／63／78／95]表演值</x:v>
      </x:c>
    </x:row>
    <x:row r="8" ht="42" customHeight="1">
      <x:c r="A8" s="39" t="str">
        <x:v>KB07</x:v>
      </x:c>
      <x:c r="B8" s="40" t="str">
        <x:v>施坦因翼琴</x:v>
      </x:c>
      <x:c r="C8" s="40" t="str">
        <x:v>键盘乐器</x:v>
      </x:c>
      <x:c r="D8" s="40" t="str">
        <x:v>古典</x:v>
      </x:c>
      <x:c r="E8" s="40" t="str">
        <x:v>蓝</x:v>
      </x:c>
      <x:c r="F8" s="37" t="n">
        <x:v>1</x:v>
      </x:c>
      <x:c r="G8" s="37" t="n">
        <x:v>4</x:v>
      </x:c>
      <x:c r="H8" s="37" t="n">
        <x:f>F8*G8</x:f>
        <x:v>4</x:v>
      </x:c>
      <x:c r="I8" s="43" t="str">
        <x:v>键盘乐器合计1件</x:v>
      </x:c>
      <x:c r="J8" s="43" t="str">
        <x:v>种类</x:v>
      </x:c>
      <x:c r="K8" s="43" t="str">
        <x:v>键盘乐器</x:v>
      </x:c>
      <x:c r="L8" s="43" t="n">
        <x:v>1</x:v>
      </x:c>
      <x:c r="M8" s="43" t="n">
        <x:v>29</x:v>
      </x:c>
      <x:c r="N8" s="43" t="n">
        <x:v>38</x:v>
      </x:c>
      <x:c r="O8" s="43" t="n">
        <x:v>48</x:v>
      </x:c>
      <x:c r="P8" s="43" t="n">
        <x:v>59</x:v>
      </x:c>
      <x:c r="Q8" s="43" t="n">
        <x:v>73</x:v>
      </x:c>
      <x:c r="R8" s="43" t="n">
        <x:v>4</x:v>
      </x:c>
      <x:c r="S8" s="43" t="n">
        <x:v>5</x:v>
      </x:c>
      <x:c r="T8" s="43" t="n">
        <x:v>6</x:v>
      </x:c>
      <x:c r="U8" s="43" t="n">
        <x:v>8</x:v>
      </x:c>
      <x:c r="V8" s="43" t="n">
        <x:v>10</x:v>
      </x:c>
      <x:c r="W8" s="40" t="str">
        <x:v>{"type":"targetBuff","scope":"adjacent","filter":{"category":["键盘乐器","弦乐器","管乐器","打击乐器"]},"cap":2,"excludeSource":true,"directions":[],"excludeAdjacent":false,"valueMode":"absolute"}</x:v>
      </x:c>
      <x:c r="X8" s="44" t="str">
        <x:v>使相邻的乐器道具各增加[4／5／6／8／10]表演值，最多2件</x:v>
      </x:c>
    </x:row>
    <x:row r="9" ht="42" customHeight="1">
      <x:c r="A9" s="39" t="str">
        <x:v>KB08</x:v>
      </x:c>
      <x:c r="B9" s="40" t="str">
        <x:v>手摇风琴</x:v>
      </x:c>
      <x:c r="C9" s="40" t="str">
        <x:v>键盘乐器</x:v>
      </x:c>
      <x:c r="D9" s="40" t="str">
        <x:v>现代</x:v>
      </x:c>
      <x:c r="E9" s="40" t="str">
        <x:v>蓝</x:v>
      </x:c>
      <x:c r="F9" s="37" t="n">
        <x:v>4</x:v>
      </x:c>
      <x:c r="G9" s="37" t="n">
        <x:v>1</x:v>
      </x:c>
      <x:c r="H9" s="37" t="n">
        <x:f>F9*G9</x:f>
        <x:v>4</x:v>
      </x:c>
      <x:c r="I9" s="43" t="str">
        <x:v>键盘乐器合计1件</x:v>
      </x:c>
      <x:c r="J9" s="43" t="str">
        <x:v>种类</x:v>
      </x:c>
      <x:c r="K9" s="43" t="str">
        <x:v>键盘乐器</x:v>
      </x:c>
      <x:c r="L9" s="43" t="n">
        <x:v>1</x:v>
      </x:c>
      <x:c r="M9" s="43" t="n">
        <x:v>29</x:v>
      </x:c>
      <x:c r="N9" s="43" t="n">
        <x:v>38</x:v>
      </x:c>
      <x:c r="O9" s="43" t="n">
        <x:v>48</x:v>
      </x:c>
      <x:c r="P9" s="43" t="n">
        <x:v>59</x:v>
      </x:c>
      <x:c r="Q9" s="43" t="n">
        <x:v>73</x:v>
      </x:c>
      <x:c r="R9" s="43" t="n">
        <x:v>4</x:v>
      </x:c>
      <x:c r="S9" s="43" t="n">
        <x:v>5</x:v>
      </x:c>
      <x:c r="T9" s="43" t="n">
        <x:v>6</x:v>
      </x:c>
      <x:c r="U9" s="43" t="n">
        <x:v>8</x:v>
      </x:c>
      <x:c r="V9" s="43" t="n">
        <x:v>10</x:v>
      </x:c>
      <x:c r="W9" s="40" t="str">
        <x:v>{"type":"targetBuff","scope":"direction","filter":{"category":["键盘乐器","弦乐器","管乐器","打击乐器"]},"cap":2,"excludeSource":true,"directions":["left"],"excludeAdjacent":false,"valueMode":"absolute"}</x:v>
      </x:c>
      <x:c r="X9" s="44" t="str">
        <x:v>使左侧的乐器道具各增加[4／5／6／8／10]表演值，最多2件</x:v>
      </x:c>
    </x:row>
    <x:row r="10" ht="42" customHeight="1">
      <x:c r="A10" s="39" t="str">
        <x:v>KB09</x:v>
      </x:c>
      <x:c r="B10" s="40" t="str">
        <x:v>克里斯托福里古钢琴</x:v>
      </x:c>
      <x:c r="C10" s="40" t="str">
        <x:v>键盘乐器</x:v>
      </x:c>
      <x:c r="D10" s="40" t="str">
        <x:v>古典</x:v>
      </x:c>
      <x:c r="E10" s="40" t="str">
        <x:v>蓝</x:v>
      </x:c>
      <x:c r="F10" s="37" t="n">
        <x:v>1</x:v>
      </x:c>
      <x:c r="G10" s="37" t="n">
        <x:v>3</x:v>
      </x:c>
      <x:c r="H10" s="37" t="n">
        <x:f>F10*G10</x:f>
        <x:v>3</x:v>
      </x:c>
      <x:c r="I10" s="43" t="str">
        <x:v>键盘乐器合计1件</x:v>
      </x:c>
      <x:c r="J10" s="43" t="str">
        <x:v>种类</x:v>
      </x:c>
      <x:c r="K10" s="43" t="str">
        <x:v>键盘乐器</x:v>
      </x:c>
      <x:c r="L10" s="43" t="n">
        <x:v>1</x:v>
      </x:c>
      <x:c r="M10" s="43" t="n">
        <x:v>23</x:v>
      </x:c>
      <x:c r="N10" s="43" t="n">
        <x:v>30</x:v>
      </x:c>
      <x:c r="O10" s="43" t="n">
        <x:v>38</x:v>
      </x:c>
      <x:c r="P10" s="43" t="n">
        <x:v>47</x:v>
      </x:c>
      <x:c r="Q10" s="43" t="n">
        <x:v>58</x:v>
      </x:c>
      <x:c r="R10" s="43" t="n">
        <x:v>4</x:v>
      </x:c>
      <x:c r="S10" s="43" t="n">
        <x:v>5</x:v>
      </x:c>
      <x:c r="T10" s="43" t="n">
        <x:v>6</x:v>
      </x:c>
      <x:c r="U10" s="43" t="n">
        <x:v>8</x:v>
      </x:c>
      <x:c r="V10" s="43" t="n">
        <x:v>10</x:v>
      </x:c>
      <x:c r="W10" s="40" t="str">
        <x:v>{"type":"targetBuff","scope":"global","filter":{"category":["键盘乐器","弦乐器","管乐器","打击乐器"],"minArea":4},"cap":3,"excludeSource":true,"directions":[],"excludeAdjacent":false,"valueMode":"absolute"}</x:v>
      </x:c>
      <x:c r="X10" s="44" t="str">
        <x:v>使背包中占用4格及以上的乐器道具各增加[4／5／6／8／10]表演值，最多3件，不计自身</x:v>
      </x:c>
    </x:row>
    <x:row r="11" ht="42" customHeight="1">
      <x:c r="A11" s="39" t="str">
        <x:v>KB10</x:v>
      </x:c>
      <x:c r="B11" s="40" t="str">
        <x:v>维吉纳琴</x:v>
      </x:c>
      <x:c r="C11" s="40" t="str">
        <x:v>键盘乐器</x:v>
      </x:c>
      <x:c r="D11" s="40" t="str">
        <x:v>古典</x:v>
      </x:c>
      <x:c r="E11" s="40" t="str">
        <x:v>蓝</x:v>
      </x:c>
      <x:c r="F11" s="37" t="n">
        <x:v>3</x:v>
      </x:c>
      <x:c r="G11" s="37" t="n">
        <x:v>1</x:v>
      </x:c>
      <x:c r="H11" s="37" t="n">
        <x:f>F11*G11</x:f>
        <x:v>3</x:v>
      </x:c>
      <x:c r="I11" s="43" t="str">
        <x:v>键盘乐器合计1件</x:v>
      </x:c>
      <x:c r="J11" s="43" t="str">
        <x:v>种类</x:v>
      </x:c>
      <x:c r="K11" s="43" t="str">
        <x:v>键盘乐器</x:v>
      </x:c>
      <x:c r="L11" s="43" t="n">
        <x:v>1</x:v>
      </x:c>
      <x:c r="M11" s="43" t="n">
        <x:v>23</x:v>
      </x:c>
      <x:c r="N11" s="43" t="n">
        <x:v>30</x:v>
      </x:c>
      <x:c r="O11" s="43" t="n">
        <x:v>38</x:v>
      </x:c>
      <x:c r="P11" s="43" t="n">
        <x:v>47</x:v>
      </x:c>
      <x:c r="Q11" s="43" t="n">
        <x:v>58</x:v>
      </x:c>
      <x:c r="R11" s="43" t="n">
        <x:v>4</x:v>
      </x:c>
      <x:c r="S11" s="43" t="n">
        <x:v>5</x:v>
      </x:c>
      <x:c r="T11" s="43" t="n">
        <x:v>6</x:v>
      </x:c>
      <x:c r="U11" s="43" t="n">
        <x:v>8</x:v>
      </x:c>
      <x:c r="V11" s="43" t="n">
        <x:v>10</x:v>
      </x:c>
      <x:c r="W11" s="40" t="str">
        <x:v>{"type":"targetBuff","scope":"direction","filter":{"category":["键盘乐器","弦乐器","管乐器","打击乐器"]},"cap":2,"excludeSource":true,"directions":["right"],"excludeAdjacent":false,"valueMode":"absolute"}</x:v>
      </x:c>
      <x:c r="X11" s="44" t="str">
        <x:v>使右侧的乐器道具各增加[4／5／6／8／10]表演值，最多2件</x:v>
      </x:c>
    </x:row>
    <x:row r="12" ht="42" customHeight="1">
      <x:c r="A12" s="39" t="str">
        <x:v>ST01</x:v>
      </x:c>
      <x:c r="B12" s="40" t="str">
        <x:v>埃拉尔音乐会竖琴</x:v>
      </x:c>
      <x:c r="C12" s="40" t="str">
        <x:v>弦乐器</x:v>
      </x:c>
      <x:c r="D12" s="40" t="str">
        <x:v>古典</x:v>
      </x:c>
      <x:c r="E12" s="40" t="str">
        <x:v>红</x:v>
      </x:c>
      <x:c r="F12" s="37" t="n">
        <x:v>3</x:v>
      </x:c>
      <x:c r="G12" s="37" t="n">
        <x:v>3</x:v>
      </x:c>
      <x:c r="H12" s="37" t="n">
        <x:f>F12*G12</x:f>
        <x:v>9</x:v>
      </x:c>
      <x:c r="I12" s="43" t="str">
        <x:v>同名1件</x:v>
      </x:c>
      <x:c r="J12" s="43" t="str">
        <x:v>同名</x:v>
      </x:c>
      <x:c r="K12" s="43" t="str">
        <x:v>ST01</x:v>
      </x:c>
      <x:c r="L12" s="43" t="n">
        <x:v>1</x:v>
      </x:c>
      <x:c r="M12" s="43" t="n">
        <x:v>102</x:v>
      </x:c>
      <x:c r="N12" s="43" t="n">
        <x:v>133</x:v>
      </x:c>
      <x:c r="O12" s="43" t="n">
        <x:v>168</x:v>
      </x:c>
      <x:c r="P12" s="43" t="n">
        <x:v>209</x:v>
      </x:c>
      <x:c r="Q12" s="43" t="n">
        <x:v>255</x:v>
      </x:c>
      <x:c r="R12" s="43" t="n">
        <x:v>3</x:v>
      </x:c>
      <x:c r="S12" s="43" t="n">
        <x:v>4</x:v>
      </x:c>
      <x:c r="T12" s="43" t="n">
        <x:v>5</x:v>
      </x:c>
      <x:c r="U12" s="43" t="n">
        <x:v>6</x:v>
      </x:c>
      <x:c r="V12" s="43" t="n">
        <x:v>8</x:v>
      </x:c>
      <x:c r="W12" s="40" t="str">
        <x:v>{"type":"targetBuff","scope":"global","filter":{"category":["弦乐器"]},"cap":6,"excludeSource":true,"directions":[],"excludeAdjacent":false,"valueMode":"percent"}</x:v>
      </x:c>
      <x:c r="X12" s="44" t="str">
        <x:v>使背包中的弦乐器道具各增加[3／4／5／6／8]%表演值，最多6件</x:v>
      </x:c>
    </x:row>
    <x:row r="13" ht="42" customHeight="1">
      <x:c r="A13" s="39" t="str">
        <x:v>ST02</x:v>
      </x:c>
      <x:c r="B13" s="40" t="str">
        <x:v>音乐会大提琴</x:v>
      </x:c>
      <x:c r="C13" s="40" t="str">
        <x:v>弦乐器</x:v>
      </x:c>
      <x:c r="D13" s="40" t="str">
        <x:v>古典</x:v>
      </x:c>
      <x:c r="E13" s="40" t="str">
        <x:v>金</x:v>
      </x:c>
      <x:c r="F13" s="37" t="n">
        <x:v>2</x:v>
      </x:c>
      <x:c r="G13" s="37" t="n">
        <x:v>3</x:v>
      </x:c>
      <x:c r="H13" s="37" t="n">
        <x:f>F13*G13</x:f>
        <x:v>6</x:v>
      </x:c>
      <x:c r="I13" s="43" t="str">
        <x:v>同名2件</x:v>
      </x:c>
      <x:c r="J13" s="43" t="str">
        <x:v>同名</x:v>
      </x:c>
      <x:c r="K13" s="43" t="str">
        <x:v>ST02</x:v>
      </x:c>
      <x:c r="L13" s="43" t="n">
        <x:v>2</x:v>
      </x:c>
      <x:c r="M13" s="43" t="n">
        <x:v>63</x:v>
      </x:c>
      <x:c r="N13" s="43" t="n">
        <x:v>82</x:v>
      </x:c>
      <x:c r="O13" s="43" t="n">
        <x:v>104</x:v>
      </x:c>
      <x:c r="P13" s="43" t="n">
        <x:v>129</x:v>
      </x:c>
      <x:c r="Q13" s="43" t="n">
        <x:v>158</x:v>
      </x:c>
      <x:c r="R13" s="43" t="n">
        <x:v>3</x:v>
      </x:c>
      <x:c r="S13" s="43" t="n">
        <x:v>4</x:v>
      </x:c>
      <x:c r="T13" s="43" t="n">
        <x:v>5</x:v>
      </x:c>
      <x:c r="U13" s="43" t="n">
        <x:v>6</x:v>
      </x:c>
      <x:c r="V13" s="43" t="n">
        <x:v>8</x:v>
      </x:c>
      <x:c r="W13" s="40" t="str">
        <x:v>{"type":"targetBuff","scope":"global","filter":{"category":["弦乐器"]},"cap":5,"excludeSource":true,"directions":[],"excludeAdjacent":false,"valueMode":"percent"}</x:v>
      </x:c>
      <x:c r="X13" s="44" t="str">
        <x:v>使背包中的其他弦乐器道具各增加[3／4／5／6／8]%表演值，最多5件</x:v>
      </x:c>
    </x:row>
    <x:row r="14" ht="42" customHeight="1">
      <x:c r="A14" s="39" t="str">
        <x:v>ST03</x:v>
      </x:c>
      <x:c r="B14" s="40" t="str">
        <x:v>交响低音提琴</x:v>
      </x:c>
      <x:c r="C14" s="40" t="str">
        <x:v>弦乐器</x:v>
      </x:c>
      <x:c r="D14" s="40" t="str">
        <x:v>古典</x:v>
      </x:c>
      <x:c r="E14" s="40" t="str">
        <x:v>金</x:v>
      </x:c>
      <x:c r="F14" s="37" t="n">
        <x:v>3</x:v>
      </x:c>
      <x:c r="G14" s="37" t="n">
        <x:v>2</x:v>
      </x:c>
      <x:c r="H14" s="37" t="n">
        <x:f>F14*G14</x:f>
        <x:v>6</x:v>
      </x:c>
      <x:c r="I14" s="43" t="str">
        <x:v>同名2件</x:v>
      </x:c>
      <x:c r="J14" s="43" t="str">
        <x:v>同名</x:v>
      </x:c>
      <x:c r="K14" s="43" t="str">
        <x:v>ST03</x:v>
      </x:c>
      <x:c r="L14" s="43" t="n">
        <x:v>2</x:v>
      </x:c>
      <x:c r="M14" s="43" t="n">
        <x:v>63</x:v>
      </x:c>
      <x:c r="N14" s="43" t="n">
        <x:v>82</x:v>
      </x:c>
      <x:c r="O14" s="43" t="n">
        <x:v>104</x:v>
      </x:c>
      <x:c r="P14" s="43" t="n">
        <x:v>129</x:v>
      </x:c>
      <x:c r="Q14" s="43" t="n">
        <x:v>158</x:v>
      </x:c>
      <x:c r="R14" s="43" t="n">
        <x:v>2</x:v>
      </x:c>
      <x:c r="S14" s="43" t="n">
        <x:v>3</x:v>
      </x:c>
      <x:c r="T14" s="43" t="n">
        <x:v>4</x:v>
      </x:c>
      <x:c r="U14" s="43" t="n">
        <x:v>5</x:v>
      </x:c>
      <x:c r="V14" s="43" t="n">
        <x:v>6</x:v>
      </x:c>
      <x:c r="W14" s="40" t="str">
        <x:v>{"type":"count","scope":"global","filter":{"category":["弦乐器"]},"cap":4,"excludeSource":true,"excludeAdjacent":true,"directions":[],"valueMode":"percent","recipient":"self"}</x:v>
      </x:c>
      <x:c r="X14" s="44" t="str">
        <x:v>背包中每有1件与自身不相邻的弦乐器道具，自身表演值增加[2／3／4／5／6]%，最多4件</x:v>
      </x:c>
    </x:row>
    <x:row r="15" ht="42" customHeight="1">
      <x:c r="A15" s="39" t="str">
        <x:v>ST04</x:v>
      </x:c>
      <x:c r="B15" s="40" t="str">
        <x:v>音乐会小提琴</x:v>
      </x:c>
      <x:c r="C15" s="40" t="str">
        <x:v>弦乐器</x:v>
      </x:c>
      <x:c r="D15" s="40" t="str">
        <x:v>古典</x:v>
      </x:c>
      <x:c r="E15" s="40" t="str">
        <x:v>紫</x:v>
      </x:c>
      <x:c r="F15" s="37" t="n">
        <x:v>1</x:v>
      </x:c>
      <x:c r="G15" s="37" t="n">
        <x:v>2</x:v>
      </x:c>
      <x:c r="H15" s="37" t="n">
        <x:f>F15*G15</x:f>
        <x:v>2</x:v>
      </x:c>
      <x:c r="I15" s="43" t="str">
        <x:v>同名4件</x:v>
      </x:c>
      <x:c r="J15" s="43" t="str">
        <x:v>同名</x:v>
      </x:c>
      <x:c r="K15" s="43" t="str">
        <x:v>ST04</x:v>
      </x:c>
      <x:c r="L15" s="43" t="n">
        <x:v>4</x:v>
      </x:c>
      <x:c r="M15" s="43" t="n">
        <x:v>22</x:v>
      </x:c>
      <x:c r="N15" s="43" t="n">
        <x:v>29</x:v>
      </x:c>
      <x:c r="O15" s="43" t="n">
        <x:v>36</x:v>
      </x:c>
      <x:c r="P15" s="43" t="n">
        <x:v>45</x:v>
      </x:c>
      <x:c r="Q15" s="43" t="n">
        <x:v>55</x:v>
      </x:c>
      <x:c r="R15" s="43" t="n">
        <x:v>4</x:v>
      </x:c>
      <x:c r="S15" s="43" t="n">
        <x:v>5</x:v>
      </x:c>
      <x:c r="T15" s="43" t="n">
        <x:v>7</x:v>
      </x:c>
      <x:c r="U15" s="43" t="n">
        <x:v>9</x:v>
      </x:c>
      <x:c r="V15" s="43" t="n">
        <x:v>11</x:v>
      </x:c>
      <x:c r="W15" s="40" t="str">
        <x:v>{"type":"targetBuff","scope":"adjacent","filter":{"category":["弦乐器"]},"cap":3,"excludeSource":true,"directions":[],"excludeAdjacent":false,"valueMode":"absolute"}</x:v>
      </x:c>
      <x:c r="X15" s="44" t="str">
        <x:v>使相邻的其他弦乐器道具各增加[4／5／7／9／11]表演值，最多3件</x:v>
      </x:c>
    </x:row>
    <x:row r="16" ht="42" customHeight="1">
      <x:c r="A16" s="39" t="str">
        <x:v>ST05</x:v>
      </x:c>
      <x:c r="B16" s="40" t="str">
        <x:v>交响中提琴</x:v>
      </x:c>
      <x:c r="C16" s="40" t="str">
        <x:v>弦乐器</x:v>
      </x:c>
      <x:c r="D16" s="40" t="str">
        <x:v>古典</x:v>
      </x:c>
      <x:c r="E16" s="40" t="str">
        <x:v>紫</x:v>
      </x:c>
      <x:c r="F16" s="37" t="n">
        <x:v>1</x:v>
      </x:c>
      <x:c r="G16" s="37" t="n">
        <x:v>3</x:v>
      </x:c>
      <x:c r="H16" s="37" t="n">
        <x:f>F16*G16</x:f>
        <x:v>3</x:v>
      </x:c>
      <x:c r="I16" s="43" t="str">
        <x:v>同名3件</x:v>
      </x:c>
      <x:c r="J16" s="43" t="str">
        <x:v>同名</x:v>
      </x:c>
      <x:c r="K16" s="43" t="str">
        <x:v>ST05</x:v>
      </x:c>
      <x:c r="L16" s="43" t="n">
        <x:v>3</x:v>
      </x:c>
      <x:c r="M16" s="43" t="n">
        <x:v>30</x:v>
      </x:c>
      <x:c r="N16" s="43" t="n">
        <x:v>39</x:v>
      </x:c>
      <x:c r="O16" s="43" t="n">
        <x:v>50</x:v>
      </x:c>
      <x:c r="P16" s="43" t="n">
        <x:v>61</x:v>
      </x:c>
      <x:c r="Q16" s="43" t="n">
        <x:v>75</x:v>
      </x:c>
      <x:c r="R16" s="43" t="n">
        <x:v>5</x:v>
      </x:c>
      <x:c r="S16" s="43" t="n">
        <x:v>7</x:v>
      </x:c>
      <x:c r="T16" s="43" t="n">
        <x:v>9</x:v>
      </x:c>
      <x:c r="U16" s="43" t="n">
        <x:v>11</x:v>
      </x:c>
      <x:c r="V16" s="43" t="n">
        <x:v>14</x:v>
      </x:c>
      <x:c r="W16" s="40" t="str">
        <x:v>{"type":"targetBuff","scope":"adjacent","filter":{"category":["弦乐器"]},"cap":3,"excludeSource":true,"directions":[],"excludeAdjacent":false,"valueMode":"absolute"}</x:v>
      </x:c>
      <x:c r="X16" s="44" t="str">
        <x:v>使相邻的其他弦乐器道具各增加[5／7／9／11／14]表演值，最多3件</x:v>
      </x:c>
    </x:row>
    <x:row r="17" ht="42" customHeight="1">
      <x:c r="A17" s="39" t="str">
        <x:v>ST06</x:v>
      </x:c>
      <x:c r="B17" s="40" t="str">
        <x:v>哈当厄尔提琴</x:v>
      </x:c>
      <x:c r="C17" s="40" t="str">
        <x:v>弦乐器</x:v>
      </x:c>
      <x:c r="D17" s="40" t="str">
        <x:v>现代</x:v>
      </x:c>
      <x:c r="E17" s="40" t="str">
        <x:v>紫</x:v>
      </x:c>
      <x:c r="F17" s="37" t="n">
        <x:v>2</x:v>
      </x:c>
      <x:c r="G17" s="37" t="n">
        <x:v>2</x:v>
      </x:c>
      <x:c r="H17" s="37" t="n">
        <x:f>F17*G17</x:f>
        <x:v>4</x:v>
      </x:c>
      <x:c r="I17" s="43" t="str">
        <x:v>同名2件</x:v>
      </x:c>
      <x:c r="J17" s="43" t="str">
        <x:v>同名</x:v>
      </x:c>
      <x:c r="K17" s="43" t="str">
        <x:v>ST06</x:v>
      </x:c>
      <x:c r="L17" s="43" t="n">
        <x:v>2</x:v>
      </x:c>
      <x:c r="M17" s="43" t="n">
        <x:v>38</x:v>
      </x:c>
      <x:c r="N17" s="43" t="n">
        <x:v>49</x:v>
      </x:c>
      <x:c r="O17" s="43" t="n">
        <x:v>63</x:v>
      </x:c>
      <x:c r="P17" s="43" t="n">
        <x:v>78</x:v>
      </x:c>
      <x:c r="Q17" s="43" t="n">
        <x:v>95</x:v>
      </x:c>
      <x:c r="R17" s="43" t="n">
        <x:v>4</x:v>
      </x:c>
      <x:c r="S17" s="43" t="n">
        <x:v>5</x:v>
      </x:c>
      <x:c r="T17" s="43" t="n">
        <x:v>7</x:v>
      </x:c>
      <x:c r="U17" s="43" t="n">
        <x:v>9</x:v>
      </x:c>
      <x:c r="V17" s="43" t="n">
        <x:v>11</x:v>
      </x:c>
      <x:c r="W17" s="40" t="str">
        <x:v>{"type":"targetBuff","scope":"adjacent","filter":{"category":["键盘乐器","弦乐器","管乐器","打击乐器"]},"cap":3,"excludeSource":true,"directions":[],"excludeAdjacent":false,"valueMode":"absolute"}</x:v>
      </x:c>
      <x:c r="X17" s="44" t="str">
        <x:v>使相邻的乐器道具各增加[4／5／7／9／11]表演值，最多3件，不计自身</x:v>
      </x:c>
    </x:row>
    <x:row r="18" ht="42" customHeight="1">
      <x:c r="A18" s="39" t="str">
        <x:v>ST07</x:v>
      </x:c>
      <x:c r="B18" s="40" t="str">
        <x:v>袖珍提琴</x:v>
      </x:c>
      <x:c r="C18" s="40" t="str">
        <x:v>弦乐器</x:v>
      </x:c>
      <x:c r="D18" s="40" t="str">
        <x:v>古典</x:v>
      </x:c>
      <x:c r="E18" s="40" t="str">
        <x:v>蓝</x:v>
      </x:c>
      <x:c r="F18" s="37" t="n">
        <x:v>1</x:v>
      </x:c>
      <x:c r="G18" s="37" t="n">
        <x:v>2</x:v>
      </x:c>
      <x:c r="H18" s="37" t="n">
        <x:f>F18*G18</x:f>
        <x:v>2</x:v>
      </x:c>
      <x:c r="I18" s="43" t="str">
        <x:v>同名3件</x:v>
      </x:c>
      <x:c r="J18" s="43" t="str">
        <x:v>同名</x:v>
      </x:c>
      <x:c r="K18" s="43" t="str">
        <x:v>ST07</x:v>
      </x:c>
      <x:c r="L18" s="43" t="n">
        <x:v>3</x:v>
      </x:c>
      <x:c r="M18" s="43" t="n">
        <x:v>17</x:v>
      </x:c>
      <x:c r="N18" s="43" t="n">
        <x:v>22</x:v>
      </x:c>
      <x:c r="O18" s="43" t="n">
        <x:v>28</x:v>
      </x:c>
      <x:c r="P18" s="43" t="n">
        <x:v>35</x:v>
      </x:c>
      <x:c r="Q18" s="43" t="n">
        <x:v>43</x:v>
      </x:c>
      <x:c r="R18" s="43" t="n">
        <x:v>7</x:v>
      </x:c>
      <x:c r="S18" s="43" t="n">
        <x:v>9</x:v>
      </x:c>
      <x:c r="T18" s="43" t="n">
        <x:v>12</x:v>
      </x:c>
      <x:c r="U18" s="43" t="n">
        <x:v>14</x:v>
      </x:c>
      <x:c r="V18" s="43" t="n">
        <x:v>18</x:v>
      </x:c>
      <x:c r="W18" s="40" t="str">
        <x:v>{"type":"targetBuff","scope":"adjacent","filter":{"category":["弦乐器"]},"cap":1,"excludeSource":true,"directions":[],"excludeAdjacent":false,"valueMode":"absolute"}</x:v>
      </x:c>
      <x:c r="X18" s="44" t="str">
        <x:v>使相邻的1件其他弦乐器道具增加[7／9／12／14／18]表演值</x:v>
      </x:c>
    </x:row>
    <x:row r="19" ht="42" customHeight="1">
      <x:c r="A19" s="39" t="str">
        <x:v>ST08</x:v>
      </x:c>
      <x:c r="B19" s="40" t="str">
        <x:v>音乐会六弦吉他</x:v>
      </x:c>
      <x:c r="C19" s="40" t="str">
        <x:v>弦乐器</x:v>
      </x:c>
      <x:c r="D19" s="40" t="str">
        <x:v>现代</x:v>
      </x:c>
      <x:c r="E19" s="40" t="str">
        <x:v>蓝</x:v>
      </x:c>
      <x:c r="F19" s="37" t="n">
        <x:v>2</x:v>
      </x:c>
      <x:c r="G19" s="37" t="n">
        <x:v>1</x:v>
      </x:c>
      <x:c r="H19" s="37" t="n">
        <x:f>F19*G19</x:f>
        <x:v>2</x:v>
      </x:c>
      <x:c r="I19" s="43" t="str">
        <x:v>同名3件</x:v>
      </x:c>
      <x:c r="J19" s="43" t="str">
        <x:v>同名</x:v>
      </x:c>
      <x:c r="K19" s="43" t="str">
        <x:v>ST08</x:v>
      </x:c>
      <x:c r="L19" s="43" t="n">
        <x:v>3</x:v>
      </x:c>
      <x:c r="M19" s="43" t="n">
        <x:v>17</x:v>
      </x:c>
      <x:c r="N19" s="43" t="n">
        <x:v>22</x:v>
      </x:c>
      <x:c r="O19" s="43" t="n">
        <x:v>28</x:v>
      </x:c>
      <x:c r="P19" s="43" t="n">
        <x:v>35</x:v>
      </x:c>
      <x:c r="Q19" s="43" t="n">
        <x:v>43</x:v>
      </x:c>
      <x:c r="R19" s="43" t="n">
        <x:v>4</x:v>
      </x:c>
      <x:c r="S19" s="43" t="n">
        <x:v>5</x:v>
      </x:c>
      <x:c r="T19" s="43" t="n">
        <x:v>6</x:v>
      </x:c>
      <x:c r="U19" s="43" t="n">
        <x:v>8</x:v>
      </x:c>
      <x:c r="V19" s="43" t="n">
        <x:v>10</x:v>
      </x:c>
      <x:c r="W19" s="40" t="str">
        <x:v>{"type":"targetBuff","scope":"adjacent","filter":{"category":["弦乐器"]},"cap":2,"excludeSource":true,"directions":[],"excludeAdjacent":false,"valueMode":"absolute"}</x:v>
      </x:c>
      <x:c r="X19" s="44" t="str">
        <x:v>使相邻的弦乐器道具各增加[4／5／6／8／10]表演值，最多2件，不计自身</x:v>
      </x:c>
    </x:row>
    <x:row r="20" ht="42" customHeight="1">
      <x:c r="A20" s="39" t="str">
        <x:v>ST09</x:v>
      </x:c>
      <x:c r="B20" s="40" t="str">
        <x:v>那不勒斯曼陀林</x:v>
      </x:c>
      <x:c r="C20" s="40" t="str">
        <x:v>弦乐器</x:v>
      </x:c>
      <x:c r="D20" s="40" t="str">
        <x:v>现代</x:v>
      </x:c>
      <x:c r="E20" s="40" t="str">
        <x:v>蓝</x:v>
      </x:c>
      <x:c r="F20" s="37" t="n">
        <x:v>1</x:v>
      </x:c>
      <x:c r="G20" s="37" t="n">
        <x:v>1</x:v>
      </x:c>
      <x:c r="H20" s="37" t="n">
        <x:f>F20*G20</x:f>
        <x:v>1</x:v>
      </x:c>
      <x:c r="I20" s="43" t="str">
        <x:v>同名3件</x:v>
      </x:c>
      <x:c r="J20" s="43" t="str">
        <x:v>同名</x:v>
      </x:c>
      <x:c r="K20" s="43" t="str">
        <x:v>ST09</x:v>
      </x:c>
      <x:c r="L20" s="43" t="n">
        <x:v>3</x:v>
      </x:c>
      <x:c r="M20" s="43" t="n">
        <x:v>10</x:v>
      </x:c>
      <x:c r="N20" s="43" t="n">
        <x:v>13</x:v>
      </x:c>
      <x:c r="O20" s="43" t="n">
        <x:v>17</x:v>
      </x:c>
      <x:c r="P20" s="43" t="n">
        <x:v>21</x:v>
      </x:c>
      <x:c r="Q20" s="43" t="n">
        <x:v>25</x:v>
      </x:c>
      <x:c r="R20" s="43" t="n">
        <x:v>3</x:v>
      </x:c>
      <x:c r="S20" s="43" t="n">
        <x:v>4</x:v>
      </x:c>
      <x:c r="T20" s="43" t="n">
        <x:v>5</x:v>
      </x:c>
      <x:c r="U20" s="43" t="n">
        <x:v>6</x:v>
      </x:c>
      <x:c r="V20" s="43" t="n">
        <x:v>8</x:v>
      </x:c>
      <x:c r="W20" s="40" t="str">
        <x:v>{"type":"targetBuff","scope":"global","filter":{"category":["弦乐器"]},"cap":3,"excludeSource":true,"directions":[],"excludeAdjacent":false,"valueMode":"absolute"}</x:v>
      </x:c>
      <x:c r="X20" s="44" t="str">
        <x:v>使背包中的其他弦乐器道具各增加[3／4／5／6／8]表演值，最多3件</x:v>
      </x:c>
    </x:row>
    <x:row r="21" ht="42" customHeight="1">
      <x:c r="A21" s="39" t="str">
        <x:v>ST10</x:v>
      </x:c>
      <x:c r="B21" s="40" t="str">
        <x:v>低音维奥尔琴</x:v>
      </x:c>
      <x:c r="C21" s="40" t="str">
        <x:v>弦乐器</x:v>
      </x:c>
      <x:c r="D21" s="40" t="str">
        <x:v>古典</x:v>
      </x:c>
      <x:c r="E21" s="40" t="str">
        <x:v>蓝</x:v>
      </x:c>
      <x:c r="F21" s="37" t="n">
        <x:v>2</x:v>
      </x:c>
      <x:c r="G21" s="37" t="n">
        <x:v>1</x:v>
      </x:c>
      <x:c r="H21" s="37" t="n">
        <x:f>F21*G21</x:f>
        <x:v>2</x:v>
      </x:c>
      <x:c r="I21" s="43" t="str">
        <x:v>同名2件</x:v>
      </x:c>
      <x:c r="J21" s="43" t="str">
        <x:v>同名</x:v>
      </x:c>
      <x:c r="K21" s="43" t="str">
        <x:v>ST10</x:v>
      </x:c>
      <x:c r="L21" s="43" t="n">
        <x:v>2</x:v>
      </x:c>
      <x:c r="M21" s="43" t="n">
        <x:v>17</x:v>
      </x:c>
      <x:c r="N21" s="43" t="n">
        <x:v>22</x:v>
      </x:c>
      <x:c r="O21" s="43" t="n">
        <x:v>28</x:v>
      </x:c>
      <x:c r="P21" s="43" t="n">
        <x:v>35</x:v>
      </x:c>
      <x:c r="Q21" s="43" t="n">
        <x:v>43</x:v>
      </x:c>
      <x:c r="R21" s="43" t="n">
        <x:v>10</x:v>
      </x:c>
      <x:c r="S21" s="43" t="n">
        <x:v>13</x:v>
      </x:c>
      <x:c r="T21" s="43" t="n">
        <x:v>17</x:v>
      </x:c>
      <x:c r="U21" s="43" t="n">
        <x:v>21</x:v>
      </x:c>
      <x:c r="V21" s="43" t="n">
        <x:v>25</x:v>
      </x:c>
      <x:c r="W21" s="40" t="str">
        <x:v>{"type":"condition","clauses":[{"scope":"adjacent","filter":{"category":["弦乐器"]},"min":null,"max":0,"cap":null,"excludeSource":true,"directions":[]}],"valueMode":"absolute","recipient":"self"}</x:v>
      </x:c>
      <x:c r="X21" s="44" t="str">
        <x:v>与其他弦乐器道具均不相邻时，自身增加[10／13／17／21／25]表演值</x:v>
      </x:c>
    </x:row>
    <x:row r="22" ht="42" customHeight="1">
      <x:c r="A22" s="39" t="str">
        <x:v>WI01</x:v>
      </x:c>
      <x:c r="B22" s="40" t="str">
        <x:v>交响低音大号</x:v>
      </x:c>
      <x:c r="C22" s="40" t="str">
        <x:v>管乐器</x:v>
      </x:c>
      <x:c r="D22" s="40" t="str">
        <x:v>古典</x:v>
      </x:c>
      <x:c r="E22" s="40" t="str">
        <x:v>红</x:v>
      </x:c>
      <x:c r="F22" s="37" t="n">
        <x:v>2</x:v>
      </x:c>
      <x:c r="G22" s="37" t="n">
        <x:v>2</x:v>
      </x:c>
      <x:c r="H22" s="37" t="n">
        <x:f>F22*G22</x:f>
        <x:v>4</x:v>
      </x:c>
      <x:c r="I22" s="43" t="str">
        <x:v>同名1件</x:v>
      </x:c>
      <x:c r="J22" s="43" t="str">
        <x:v>同名</x:v>
      </x:c>
      <x:c r="K22" s="43" t="str">
        <x:v>WI01</x:v>
      </x:c>
      <x:c r="L22" s="43" t="n">
        <x:v>1</x:v>
      </x:c>
      <x:c r="M22" s="43" t="n">
        <x:v>59</x:v>
      </x:c>
      <x:c r="N22" s="43" t="n">
        <x:v>77</x:v>
      </x:c>
      <x:c r="O22" s="43" t="n">
        <x:v>97</x:v>
      </x:c>
      <x:c r="P22" s="43" t="n">
        <x:v>121</x:v>
      </x:c>
      <x:c r="Q22" s="43" t="n">
        <x:v>148</x:v>
      </x:c>
      <x:c r="R22" s="43" t="n">
        <x:v>10</x:v>
      </x:c>
      <x:c r="S22" s="43" t="n">
        <x:v>13</x:v>
      </x:c>
      <x:c r="T22" s="43" t="n">
        <x:v>16</x:v>
      </x:c>
      <x:c r="U22" s="43" t="n">
        <x:v>20</x:v>
      </x:c>
      <x:c r="V22" s="43" t="n">
        <x:v>25</x:v>
      </x:c>
      <x:c r="W22" s="40" t="str">
        <x:v>{"type":"condition","clauses":[{"scope":"global","filter":{"category":["管乐器"]},"min":4,"max":null,"cap":null,"excludeSource":true,"directions":[]}],"valueMode":"percent","recipient":"self"}</x:v>
      </x:c>
      <x:c r="X22" s="44" t="str">
        <x:v>背包中至少有4件其他管乐器时，自身表演值增加[10／13／16／20／25]%</x:v>
      </x:c>
    </x:row>
    <x:row r="23" ht="42" customHeight="1">
      <x:c r="A23" s="39" t="str">
        <x:v>WI02</x:v>
      </x:c>
      <x:c r="B23" s="40" t="str">
        <x:v>法式巴松</x:v>
      </x:c>
      <x:c r="C23" s="40" t="str">
        <x:v>管乐器</x:v>
      </x:c>
      <x:c r="D23" s="40" t="str">
        <x:v>古典</x:v>
      </x:c>
      <x:c r="E23" s="40" t="str">
        <x:v>金</x:v>
      </x:c>
      <x:c r="F23" s="37" t="n">
        <x:v>1</x:v>
      </x:c>
      <x:c r="G23" s="37" t="n">
        <x:v>3</x:v>
      </x:c>
      <x:c r="H23" s="37" t="n">
        <x:f>F23*G23</x:f>
        <x:v>3</x:v>
      </x:c>
      <x:c r="I23" s="43" t="str">
        <x:v>同名2件</x:v>
      </x:c>
      <x:c r="J23" s="43" t="str">
        <x:v>同名</x:v>
      </x:c>
      <x:c r="K23" s="43" t="str">
        <x:v>WI02</x:v>
      </x:c>
      <x:c r="L23" s="43" t="n">
        <x:v>2</x:v>
      </x:c>
      <x:c r="M23" s="43" t="n">
        <x:v>38</x:v>
      </x:c>
      <x:c r="N23" s="43" t="n">
        <x:v>49</x:v>
      </x:c>
      <x:c r="O23" s="43" t="n">
        <x:v>63</x:v>
      </x:c>
      <x:c r="P23" s="43" t="n">
        <x:v>78</x:v>
      </x:c>
      <x:c r="Q23" s="43" t="n">
        <x:v>95</x:v>
      </x:c>
      <x:c r="R23" s="43" t="n">
        <x:v>3</x:v>
      </x:c>
      <x:c r="S23" s="43" t="n">
        <x:v>4</x:v>
      </x:c>
      <x:c r="T23" s="43" t="n">
        <x:v>5</x:v>
      </x:c>
      <x:c r="U23" s="43" t="n">
        <x:v>6</x:v>
      </x:c>
      <x:c r="V23" s="43" t="n">
        <x:v>8</x:v>
      </x:c>
      <x:c r="W23" s="40" t="str">
        <x:v>{"type":"targetBuff","scope":"direction","filter":{"category":["管乐器"]},"cap":4,"excludeSource":true,"directions":["up","down"],"excludeAdjacent":false,"valueMode":"percent"}</x:v>
      </x:c>
      <x:c r="X23" s="44" t="str">
        <x:v>使上方和下方的其他管乐器道具各增加[3／4／5／6／8]%表演值，最多4件</x:v>
      </x:c>
    </x:row>
    <x:row r="24" ht="42" customHeight="1">
      <x:c r="A24" s="39" t="str">
        <x:v>WI03</x:v>
      </x:c>
      <x:c r="B24" s="40" t="str">
        <x:v>双排圆号</x:v>
      </x:c>
      <x:c r="C24" s="40" t="str">
        <x:v>管乐器</x:v>
      </x:c>
      <x:c r="D24" s="40" t="str">
        <x:v>古典</x:v>
      </x:c>
      <x:c r="E24" s="40" t="str">
        <x:v>金</x:v>
      </x:c>
      <x:c r="F24" s="37" t="n">
        <x:v>3</x:v>
      </x:c>
      <x:c r="G24" s="37" t="n">
        <x:v>1</x:v>
      </x:c>
      <x:c r="H24" s="37" t="n">
        <x:f>F24*G24</x:f>
        <x:v>3</x:v>
      </x:c>
      <x:c r="I24" s="43" t="str">
        <x:v>同名2件</x:v>
      </x:c>
      <x:c r="J24" s="43" t="str">
        <x:v>同名</x:v>
      </x:c>
      <x:c r="K24" s="43" t="str">
        <x:v>WI03</x:v>
      </x:c>
      <x:c r="L24" s="43" t="n">
        <x:v>2</x:v>
      </x:c>
      <x:c r="M24" s="43" t="n">
        <x:v>38</x:v>
      </x:c>
      <x:c r="N24" s="43" t="n">
        <x:v>49</x:v>
      </x:c>
      <x:c r="O24" s="43" t="n">
        <x:v>63</x:v>
      </x:c>
      <x:c r="P24" s="43" t="n">
        <x:v>78</x:v>
      </x:c>
      <x:c r="Q24" s="43" t="n">
        <x:v>95</x:v>
      </x:c>
      <x:c r="R24" s="43" t="n">
        <x:v>5</x:v>
      </x:c>
      <x:c r="S24" s="43" t="n">
        <x:v>6</x:v>
      </x:c>
      <x:c r="T24" s="43" t="n">
        <x:v>8</x:v>
      </x:c>
      <x:c r="U24" s="43" t="n">
        <x:v>10</x:v>
      </x:c>
      <x:c r="V24" s="43" t="n">
        <x:v>12</x:v>
      </x:c>
      <x:c r="W24" s="40" t="str">
        <x:v>{"type":"groupBuff","clauses":[{"scope":"direction","filter":{"category":["管乐器"]},"min":1,"max":null,"cap":null,"excludeSource":true,"directions":["left"]},{"scope":"direction","filter":{"category":["管乐器"]},"min":1,"max":null,"cap":null,"excludeSource":true,"directions":["right"]}],"recipients":{"scope":"direction","directions":["left","right"],"filter":{"category":["管乐器"]},"cap":4,"includeSource":false},"valueMode":"percent"}</x:v>
      </x:c>
      <x:c r="X24" s="44" t="str">
        <x:v>左侧和右侧各至少有1件其他管乐器道具时，使两侧符合条件的道具各增加[5／6／8／10／12]%表演值，最多4件</x:v>
      </x:c>
    </x:row>
    <x:row r="25" ht="42" customHeight="1">
      <x:c r="A25" s="39" t="str">
        <x:v>WI04</x:v>
      </x:c>
      <x:c r="B25" s="40" t="str">
        <x:v>博姆式长笛</x:v>
      </x:c>
      <x:c r="C25" s="40" t="str">
        <x:v>管乐器</x:v>
      </x:c>
      <x:c r="D25" s="40" t="str">
        <x:v>古典</x:v>
      </x:c>
      <x:c r="E25" s="40" t="str">
        <x:v>紫</x:v>
      </x:c>
      <x:c r="F25" s="37" t="n">
        <x:v>1</x:v>
      </x:c>
      <x:c r="G25" s="37" t="n">
        <x:v>2</x:v>
      </x:c>
      <x:c r="H25" s="37" t="n">
        <x:f>F25*G25</x:f>
        <x:v>2</x:v>
      </x:c>
      <x:c r="I25" s="43" t="str">
        <x:v>同名3件</x:v>
      </x:c>
      <x:c r="J25" s="43" t="str">
        <x:v>同名</x:v>
      </x:c>
      <x:c r="K25" s="43" t="str">
        <x:v>WI04</x:v>
      </x:c>
      <x:c r="L25" s="43" t="n">
        <x:v>3</x:v>
      </x:c>
      <x:c r="M25" s="43" t="n">
        <x:v>22</x:v>
      </x:c>
      <x:c r="N25" s="43" t="n">
        <x:v>29</x:v>
      </x:c>
      <x:c r="O25" s="43" t="n">
        <x:v>36</x:v>
      </x:c>
      <x:c r="P25" s="43" t="n">
        <x:v>45</x:v>
      </x:c>
      <x:c r="Q25" s="43" t="n">
        <x:v>55</x:v>
      </x:c>
      <x:c r="R25" s="43" t="n">
        <x:v>5</x:v>
      </x:c>
      <x:c r="S25" s="43" t="n">
        <x:v>6</x:v>
      </x:c>
      <x:c r="T25" s="43" t="n">
        <x:v>8</x:v>
      </x:c>
      <x:c r="U25" s="43" t="n">
        <x:v>10</x:v>
      </x:c>
      <x:c r="V25" s="43" t="n">
        <x:v>12</x:v>
      </x:c>
      <x:c r="W25" s="40" t="str">
        <x:v>{"type":"targetBuff","scope":"direction","filter":{"category":["管乐器"]},"cap":3,"excludeSource":true,"directions":["up"],"excludeAdjacent":false,"valueMode":"absolute"}</x:v>
      </x:c>
      <x:c r="X25" s="44" t="str">
        <x:v>使上方的其他管乐器道具各增加[5／6／8／10／12]表演值，最多3件</x:v>
      </x:c>
    </x:row>
    <x:row r="26" ht="42" customHeight="1">
      <x:c r="A26" s="39" t="str">
        <x:v>WI05</x:v>
      </x:c>
      <x:c r="B26" s="40" t="str">
        <x:v>拉杆长号</x:v>
      </x:c>
      <x:c r="C26" s="40" t="str">
        <x:v>管乐器</x:v>
      </x:c>
      <x:c r="D26" s="40" t="str">
        <x:v>现代</x:v>
      </x:c>
      <x:c r="E26" s="40" t="str">
        <x:v>紫</x:v>
      </x:c>
      <x:c r="F26" s="37" t="n">
        <x:v>2</x:v>
      </x:c>
      <x:c r="G26" s="37" t="n">
        <x:v>1</x:v>
      </x:c>
      <x:c r="H26" s="37" t="n">
        <x:f>F26*G26</x:f>
        <x:v>2</x:v>
      </x:c>
      <x:c r="I26" s="43" t="str">
        <x:v>同名3件</x:v>
      </x:c>
      <x:c r="J26" s="43" t="str">
        <x:v>同名</x:v>
      </x:c>
      <x:c r="K26" s="43" t="str">
        <x:v>WI05</x:v>
      </x:c>
      <x:c r="L26" s="43" t="n">
        <x:v>3</x:v>
      </x:c>
      <x:c r="M26" s="43" t="n">
        <x:v>22</x:v>
      </x:c>
      <x:c r="N26" s="43" t="n">
        <x:v>29</x:v>
      </x:c>
      <x:c r="O26" s="43" t="n">
        <x:v>36</x:v>
      </x:c>
      <x:c r="P26" s="43" t="n">
        <x:v>45</x:v>
      </x:c>
      <x:c r="Q26" s="43" t="n">
        <x:v>55</x:v>
      </x:c>
      <x:c r="R26" s="43" t="n">
        <x:v>5</x:v>
      </x:c>
      <x:c r="S26" s="43" t="n">
        <x:v>6</x:v>
      </x:c>
      <x:c r="T26" s="43" t="n">
        <x:v>8</x:v>
      </x:c>
      <x:c r="U26" s="43" t="n">
        <x:v>10</x:v>
      </x:c>
      <x:c r="V26" s="43" t="n">
        <x:v>12</x:v>
      </x:c>
      <x:c r="W26" s="40" t="str">
        <x:v>{"type":"targetBuff","scope":"direction","filter":{"category":["管乐器"]},"cap":3,"excludeSource":true,"directions":["right"],"excludeAdjacent":false,"valueMode":"absolute"}</x:v>
      </x:c>
      <x:c r="X26" s="44" t="str">
        <x:v>使右侧的其他管乐器道具各增加[5／6／8／10／12]表演值，最多3件</x:v>
      </x:c>
    </x:row>
    <x:row r="27" ht="42" customHeight="1">
      <x:c r="A27" s="39" t="str">
        <x:v>WI06</x:v>
      </x:c>
      <x:c r="B27" s="40" t="str">
        <x:v>德式单簧管</x:v>
      </x:c>
      <x:c r="C27" s="40" t="str">
        <x:v>管乐器</x:v>
      </x:c>
      <x:c r="D27" s="40" t="str">
        <x:v>现代</x:v>
      </x:c>
      <x:c r="E27" s="40" t="str">
        <x:v>紫</x:v>
      </x:c>
      <x:c r="F27" s="37" t="n">
        <x:v>1</x:v>
      </x:c>
      <x:c r="G27" s="37" t="n">
        <x:v>3</x:v>
      </x:c>
      <x:c r="H27" s="37" t="n">
        <x:f>F27*G27</x:f>
        <x:v>3</x:v>
      </x:c>
      <x:c r="I27" s="43" t="str">
        <x:v>同名3件</x:v>
      </x:c>
      <x:c r="J27" s="43" t="str">
        <x:v>同名</x:v>
      </x:c>
      <x:c r="K27" s="43" t="str">
        <x:v>WI06</x:v>
      </x:c>
      <x:c r="L27" s="43" t="n">
        <x:v>3</x:v>
      </x:c>
      <x:c r="M27" s="43" t="n">
        <x:v>30</x:v>
      </x:c>
      <x:c r="N27" s="43" t="n">
        <x:v>39</x:v>
      </x:c>
      <x:c r="O27" s="43" t="n">
        <x:v>50</x:v>
      </x:c>
      <x:c r="P27" s="43" t="n">
        <x:v>61</x:v>
      </x:c>
      <x:c r="Q27" s="43" t="n">
        <x:v>75</x:v>
      </x:c>
      <x:c r="R27" s="43" t="n">
        <x:v>4</x:v>
      </x:c>
      <x:c r="S27" s="43" t="n">
        <x:v>5</x:v>
      </x:c>
      <x:c r="T27" s="43" t="n">
        <x:v>7</x:v>
      </x:c>
      <x:c r="U27" s="43" t="n">
        <x:v>9</x:v>
      </x:c>
      <x:c r="V27" s="43" t="n">
        <x:v>11</x:v>
      </x:c>
      <x:c r="W27" s="40" t="str">
        <x:v>{"type":"targetBuff","scope":"global","filter":{"category":["管乐器"]},"cap":4,"excludeSource":true,"directions":[],"excludeAdjacent":false,"valueMode":"absolute"}</x:v>
      </x:c>
      <x:c r="X27" s="44" t="str">
        <x:v>使背包中的其他管乐器道具各增加[4／5／7／9／11]表演值，最多4件</x:v>
      </x:c>
    </x:row>
    <x:row r="28" ht="42" customHeight="1">
      <x:c r="A28" s="39" t="str">
        <x:v>WI07</x:v>
      </x:c>
      <x:c r="B28" s="40" t="str">
        <x:v>皮斯通小号</x:v>
      </x:c>
      <x:c r="C28" s="40" t="str">
        <x:v>管乐器</x:v>
      </x:c>
      <x:c r="D28" s="40" t="str">
        <x:v>现代</x:v>
      </x:c>
      <x:c r="E28" s="40" t="str">
        <x:v>蓝</x:v>
      </x:c>
      <x:c r="F28" s="37" t="n">
        <x:v>3</x:v>
      </x:c>
      <x:c r="G28" s="37" t="n">
        <x:v>1</x:v>
      </x:c>
      <x:c r="H28" s="37" t="n">
        <x:f>F28*G28</x:f>
        <x:v>3</x:v>
      </x:c>
      <x:c r="I28" s="43" t="str">
        <x:v>同名3件</x:v>
      </x:c>
      <x:c r="J28" s="43" t="str">
        <x:v>同名</x:v>
      </x:c>
      <x:c r="K28" s="43" t="str">
        <x:v>WI07</x:v>
      </x:c>
      <x:c r="L28" s="43" t="n">
        <x:v>3</x:v>
      </x:c>
      <x:c r="M28" s="43" t="n">
        <x:v>23</x:v>
      </x:c>
      <x:c r="N28" s="43" t="n">
        <x:v>30</x:v>
      </x:c>
      <x:c r="O28" s="43" t="n">
        <x:v>38</x:v>
      </x:c>
      <x:c r="P28" s="43" t="n">
        <x:v>47</x:v>
      </x:c>
      <x:c r="Q28" s="43" t="n">
        <x:v>58</x:v>
      </x:c>
      <x:c r="R28" s="43" t="n">
        <x:v>4</x:v>
      </x:c>
      <x:c r="S28" s="43" t="n">
        <x:v>5</x:v>
      </x:c>
      <x:c r="T28" s="43" t="n">
        <x:v>6</x:v>
      </x:c>
      <x:c r="U28" s="43" t="n">
        <x:v>8</x:v>
      </x:c>
      <x:c r="V28" s="43" t="n">
        <x:v>10</x:v>
      </x:c>
      <x:c r="W28" s="40" t="str">
        <x:v>{"type":"targetBuff","scope":"direction","filter":{"category":["管乐器"]},"cap":2,"excludeSource":true,"directions":["left"],"excludeAdjacent":false,"valueMode":"absolute"}</x:v>
      </x:c>
      <x:c r="X28" s="44" t="str">
        <x:v>使左侧的其他管乐器道具各增加[4／5／6／8／10]表演值，最多2件</x:v>
      </x:c>
    </x:row>
    <x:row r="29" ht="42" customHeight="1">
      <x:c r="A29" s="39" t="str">
        <x:v>WI08</x:v>
      </x:c>
      <x:c r="B29" s="40" t="str">
        <x:v>古典双簧管</x:v>
      </x:c>
      <x:c r="C29" s="40" t="str">
        <x:v>管乐器</x:v>
      </x:c>
      <x:c r="D29" s="40" t="str">
        <x:v>古典</x:v>
      </x:c>
      <x:c r="E29" s="40" t="str">
        <x:v>蓝</x:v>
      </x:c>
      <x:c r="F29" s="37" t="n">
        <x:v>1</x:v>
      </x:c>
      <x:c r="G29" s="37" t="n">
        <x:v>2</x:v>
      </x:c>
      <x:c r="H29" s="37" t="n">
        <x:f>F29*G29</x:f>
        <x:v>2</x:v>
      </x:c>
      <x:c r="I29" s="43" t="str">
        <x:v>同名3件</x:v>
      </x:c>
      <x:c r="J29" s="43" t="str">
        <x:v>同名</x:v>
      </x:c>
      <x:c r="K29" s="43" t="str">
        <x:v>WI08</x:v>
      </x:c>
      <x:c r="L29" s="43" t="n">
        <x:v>3</x:v>
      </x:c>
      <x:c r="M29" s="43" t="n">
        <x:v>17</x:v>
      </x:c>
      <x:c r="N29" s="43" t="n">
        <x:v>22</x:v>
      </x:c>
      <x:c r="O29" s="43" t="n">
        <x:v>28</x:v>
      </x:c>
      <x:c r="P29" s="43" t="n">
        <x:v>35</x:v>
      </x:c>
      <x:c r="Q29" s="43" t="n">
        <x:v>43</x:v>
      </x:c>
      <x:c r="R29" s="43" t="n">
        <x:v>4</x:v>
      </x:c>
      <x:c r="S29" s="43" t="n">
        <x:v>5</x:v>
      </x:c>
      <x:c r="T29" s="43" t="n">
        <x:v>6</x:v>
      </x:c>
      <x:c r="U29" s="43" t="n">
        <x:v>8</x:v>
      </x:c>
      <x:c r="V29" s="43" t="n">
        <x:v>10</x:v>
      </x:c>
      <x:c r="W29" s="40" t="str">
        <x:v>{"type":"targetBuff","scope":"direction","filter":{"category":["管乐器"]},"cap":2,"excludeSource":true,"directions":["down"],"excludeAdjacent":false,"valueMode":"absolute"}</x:v>
      </x:c>
      <x:c r="X29" s="44" t="str">
        <x:v>使下方的其他管乐器道具各增加[4／5／6／8／10]表演值，最多2件</x:v>
      </x:c>
    </x:row>
    <x:row r="30" ht="42" customHeight="1">
      <x:c r="A30" s="39" t="str">
        <x:v>WI09</x:v>
      </x:c>
      <x:c r="B30" s="40" t="str">
        <x:v>法式短号</x:v>
      </x:c>
      <x:c r="C30" s="40" t="str">
        <x:v>管乐器</x:v>
      </x:c>
      <x:c r="D30" s="40" t="str">
        <x:v>现代</x:v>
      </x:c>
      <x:c r="E30" s="40" t="str">
        <x:v>蓝</x:v>
      </x:c>
      <x:c r="F30" s="37" t="n">
        <x:v>2</x:v>
      </x:c>
      <x:c r="G30" s="37" t="n">
        <x:v>1</x:v>
      </x:c>
      <x:c r="H30" s="37" t="n">
        <x:f>F30*G30</x:f>
        <x:v>2</x:v>
      </x:c>
      <x:c r="I30" s="43" t="str">
        <x:v>同名3件</x:v>
      </x:c>
      <x:c r="J30" s="43" t="str">
        <x:v>同名</x:v>
      </x:c>
      <x:c r="K30" s="43" t="str">
        <x:v>WI09</x:v>
      </x:c>
      <x:c r="L30" s="43" t="n">
        <x:v>3</x:v>
      </x:c>
      <x:c r="M30" s="43" t="n">
        <x:v>17</x:v>
      </x:c>
      <x:c r="N30" s="43" t="n">
        <x:v>22</x:v>
      </x:c>
      <x:c r="O30" s="43" t="n">
        <x:v>28</x:v>
      </x:c>
      <x:c r="P30" s="43" t="n">
        <x:v>35</x:v>
      </x:c>
      <x:c r="Q30" s="43" t="n">
        <x:v>43</x:v>
      </x:c>
      <x:c r="R30" s="43" t="n">
        <x:v>7</x:v>
      </x:c>
      <x:c r="S30" s="43" t="n">
        <x:v>9</x:v>
      </x:c>
      <x:c r="T30" s="43" t="n">
        <x:v>12</x:v>
      </x:c>
      <x:c r="U30" s="43" t="n">
        <x:v>14</x:v>
      </x:c>
      <x:c r="V30" s="43" t="n">
        <x:v>18</x:v>
      </x:c>
      <x:c r="W30" s="40" t="str">
        <x:v>{"type":"targetBuff","scope":"adjacent","filter":{"category":["管乐器"]},"cap":1,"excludeSource":true,"directions":[],"excludeAdjacent":false,"valueMode":"absolute"}</x:v>
      </x:c>
      <x:c r="X30" s="44" t="str">
        <x:v>使相邻的1件其他管乐器道具增加[7／9／12／14／18]表演值</x:v>
      </x:c>
    </x:row>
    <x:row r="31" ht="42" customHeight="1">
      <x:c r="A31" s="39" t="str">
        <x:v>WI10</x:v>
      </x:c>
      <x:c r="B31" s="40" t="str">
        <x:v>交响短笛</x:v>
      </x:c>
      <x:c r="C31" s="40" t="str">
        <x:v>管乐器</x:v>
      </x:c>
      <x:c r="D31" s="40" t="str">
        <x:v>古典</x:v>
      </x:c>
      <x:c r="E31" s="40" t="str">
        <x:v>蓝</x:v>
      </x:c>
      <x:c r="F31" s="37" t="n">
        <x:v>1</x:v>
      </x:c>
      <x:c r="G31" s="37" t="n">
        <x:v>1</x:v>
      </x:c>
      <x:c r="H31" s="37" t="n">
        <x:f>F31*G31</x:f>
        <x:v>1</x:v>
      </x:c>
      <x:c r="I31" s="43" t="str">
        <x:v>同名2件</x:v>
      </x:c>
      <x:c r="J31" s="43" t="str">
        <x:v>同名</x:v>
      </x:c>
      <x:c r="K31" s="43" t="str">
        <x:v>WI10</x:v>
      </x:c>
      <x:c r="L31" s="43" t="n">
        <x:v>2</x:v>
      </x:c>
      <x:c r="M31" s="43" t="n">
        <x:v>10</x:v>
      </x:c>
      <x:c r="N31" s="43" t="n">
        <x:v>13</x:v>
      </x:c>
      <x:c r="O31" s="43" t="n">
        <x:v>17</x:v>
      </x:c>
      <x:c r="P31" s="43" t="n">
        <x:v>21</x:v>
      </x:c>
      <x:c r="Q31" s="43" t="n">
        <x:v>25</x:v>
      </x:c>
      <x:c r="R31" s="43" t="n">
        <x:v>10</x:v>
      </x:c>
      <x:c r="S31" s="43" t="n">
        <x:v>13</x:v>
      </x:c>
      <x:c r="T31" s="43" t="n">
        <x:v>17</x:v>
      </x:c>
      <x:c r="U31" s="43" t="n">
        <x:v>21</x:v>
      </x:c>
      <x:c r="V31" s="43" t="n">
        <x:v>25</x:v>
      </x:c>
      <x:c r="W31" s="40" t="str">
        <x:v>{"type":"condition","clauses":[{"scope":"adjacent","filter":{"category":["管乐器"]},"min":null,"max":0,"cap":null,"excludeSource":true,"directions":[]}],"valueMode":"absolute","recipient":"self"}</x:v>
      </x:c>
      <x:c r="X31" s="44" t="str">
        <x:v>与其他管乐器道具均不相邻时，自身增加[10／13／17／21／25]表演值</x:v>
      </x:c>
    </x:row>
    <x:row r="32" ht="42" customHeight="1">
      <x:c r="A32" s="39" t="str">
        <x:v>PC01</x:v>
      </x:c>
      <x:c r="B32" s="40" t="str">
        <x:v>交响定音鼓</x:v>
      </x:c>
      <x:c r="C32" s="40" t="str">
        <x:v>打击乐器</x:v>
      </x:c>
      <x:c r="D32" s="40" t="str">
        <x:v>古典</x:v>
      </x:c>
      <x:c r="E32" s="40" t="str">
        <x:v>红</x:v>
      </x:c>
      <x:c r="F32" s="37" t="n">
        <x:v>3</x:v>
      </x:c>
      <x:c r="G32" s="37" t="n">
        <x:v>2</x:v>
      </x:c>
      <x:c r="H32" s="37" t="n">
        <x:f>F32*G32</x:f>
        <x:v>6</x:v>
      </x:c>
      <x:c r="I32" s="43" t="str">
        <x:v>同名1件</x:v>
      </x:c>
      <x:c r="J32" s="43" t="str">
        <x:v>同名</x:v>
      </x:c>
      <x:c r="K32" s="43" t="str">
        <x:v>PC01</x:v>
      </x:c>
      <x:c r="L32" s="43" t="n">
        <x:v>1</x:v>
      </x:c>
      <x:c r="M32" s="43" t="n">
        <x:v>78</x:v>
      </x:c>
      <x:c r="N32" s="43" t="n">
        <x:v>101</x:v>
      </x:c>
      <x:c r="O32" s="43" t="n">
        <x:v>129</x:v>
      </x:c>
      <x:c r="P32" s="43" t="n">
        <x:v>160</x:v>
      </x:c>
      <x:c r="Q32" s="43" t="n">
        <x:v>195</x:v>
      </x:c>
      <x:c r="R32" s="43" t="n">
        <x:v>4</x:v>
      </x:c>
      <x:c r="S32" s="43" t="n">
        <x:v>5</x:v>
      </x:c>
      <x:c r="T32" s="43" t="n">
        <x:v>6</x:v>
      </x:c>
      <x:c r="U32" s="43" t="n">
        <x:v>8</x:v>
      </x:c>
      <x:c r="V32" s="43" t="n">
        <x:v>10</x:v>
      </x:c>
      <x:c r="W32" s="40" t="str">
        <x:v>{"type":"targetBuff","scope":"adjacent","filter":{"category":["打击乐器"]},"cap":4,"excludeSource":true,"directions":[],"excludeAdjacent":false,"valueMode":"percent"}</x:v>
      </x:c>
      <x:c r="X32" s="44" t="str">
        <x:v>使相邻的其他打击乐器道具各增加[4／5／6／8／10]%表演值，最多4件</x:v>
      </x:c>
    </x:row>
    <x:row r="33" ht="42" customHeight="1">
      <x:c r="A33" s="39" t="str">
        <x:v>PC02</x:v>
      </x:c>
      <x:c r="B33" s="40" t="str">
        <x:v>音乐会大鼓</x:v>
      </x:c>
      <x:c r="C33" s="40" t="str">
        <x:v>打击乐器</x:v>
      </x:c>
      <x:c r="D33" s="40" t="str">
        <x:v>古典</x:v>
      </x:c>
      <x:c r="E33" s="40" t="str">
        <x:v>金</x:v>
      </x:c>
      <x:c r="F33" s="37" t="n">
        <x:v>2</x:v>
      </x:c>
      <x:c r="G33" s="37" t="n">
        <x:v>3</x:v>
      </x:c>
      <x:c r="H33" s="37" t="n">
        <x:f>F33*G33</x:f>
        <x:v>6</x:v>
      </x:c>
      <x:c r="I33" s="43" t="str">
        <x:v>同名2件</x:v>
      </x:c>
      <x:c r="J33" s="43" t="str">
        <x:v>同名</x:v>
      </x:c>
      <x:c r="K33" s="43" t="str">
        <x:v>PC02</x:v>
      </x:c>
      <x:c r="L33" s="43" t="n">
        <x:v>2</x:v>
      </x:c>
      <x:c r="M33" s="43" t="n">
        <x:v>63</x:v>
      </x:c>
      <x:c r="N33" s="43" t="n">
        <x:v>82</x:v>
      </x:c>
      <x:c r="O33" s="43" t="n">
        <x:v>104</x:v>
      </x:c>
      <x:c r="P33" s="43" t="n">
        <x:v>129</x:v>
      </x:c>
      <x:c r="Q33" s="43" t="n">
        <x:v>158</x:v>
      </x:c>
      <x:c r="R33" s="43" t="n">
        <x:v>3</x:v>
      </x:c>
      <x:c r="S33" s="43" t="n">
        <x:v>4</x:v>
      </x:c>
      <x:c r="T33" s="43" t="n">
        <x:v>5</x:v>
      </x:c>
      <x:c r="U33" s="43" t="n">
        <x:v>6</x:v>
      </x:c>
      <x:c r="V33" s="43" t="n">
        <x:v>8</x:v>
      </x:c>
      <x:c r="W33" s="40" t="str">
        <x:v>{"type":"targetBuff","scope":"direction","filter":{"category":["打击乐器"]},"cap":4,"excludeSource":true,"directions":["up","down"],"excludeAdjacent":false,"valueMode":"percent"}</x:v>
      </x:c>
      <x:c r="X33" s="44" t="str">
        <x:v>使上方和下方的其他打击乐器道具各增加[3／4／5／6／8]%表演值，最多4件</x:v>
      </x:c>
    </x:row>
    <x:row r="34" ht="42" customHeight="1">
      <x:c r="A34" s="39" t="str">
        <x:v>PC03</x:v>
      </x:c>
      <x:c r="B34" s="40" t="str">
        <x:v>音乐会木琴</x:v>
      </x:c>
      <x:c r="C34" s="40" t="str">
        <x:v>打击乐器</x:v>
      </x:c>
      <x:c r="D34" s="40" t="str">
        <x:v>现代</x:v>
      </x:c>
      <x:c r="E34" s="40" t="str">
        <x:v>金</x:v>
      </x:c>
      <x:c r="F34" s="37" t="n">
        <x:v>1</x:v>
      </x:c>
      <x:c r="G34" s="37" t="n">
        <x:v>4</x:v>
      </x:c>
      <x:c r="H34" s="37" t="n">
        <x:f>F34*G34</x:f>
        <x:v>4</x:v>
      </x:c>
      <x:c r="I34" s="43" t="str">
        <x:v>同名2件</x:v>
      </x:c>
      <x:c r="J34" s="43" t="str">
        <x:v>同名</x:v>
      </x:c>
      <x:c r="K34" s="43" t="str">
        <x:v>PC03</x:v>
      </x:c>
      <x:c r="L34" s="43" t="n">
        <x:v>2</x:v>
      </x:c>
      <x:c r="M34" s="43" t="n">
        <x:v>48</x:v>
      </x:c>
      <x:c r="N34" s="43" t="n">
        <x:v>62</x:v>
      </x:c>
      <x:c r="O34" s="43" t="n">
        <x:v>79</x:v>
      </x:c>
      <x:c r="P34" s="43" t="n">
        <x:v>98</x:v>
      </x:c>
      <x:c r="Q34" s="43" t="n">
        <x:v>120</x:v>
      </x:c>
      <x:c r="R34" s="43" t="n">
        <x:v>3</x:v>
      </x:c>
      <x:c r="S34" s="43" t="n">
        <x:v>4</x:v>
      </x:c>
      <x:c r="T34" s="43" t="n">
        <x:v>5</x:v>
      </x:c>
      <x:c r="U34" s="43" t="n">
        <x:v>6</x:v>
      </x:c>
      <x:c r="V34" s="43" t="n">
        <x:v>8</x:v>
      </x:c>
      <x:c r="W34" s="40" t="str">
        <x:v>{"type":"targetBuff","scope":"direction","filter":{"category":["打击乐器"]},"cap":4,"excludeSource":true,"directions":["left","right"],"excludeAdjacent":false,"valueMode":"percent"}</x:v>
      </x:c>
      <x:c r="X34" s="44" t="str">
        <x:v>使左侧和右侧的其他打击乐器道具各增加[3／4／5／6／8]%表演值，最多4件</x:v>
      </x:c>
    </x:row>
    <x:row r="35" ht="42" customHeight="1">
      <x:c r="A35" s="39" t="str">
        <x:v>PC04</x:v>
      </x:c>
      <x:c r="B35" s="40" t="str">
        <x:v>交响管钟</x:v>
      </x:c>
      <x:c r="C35" s="40" t="str">
        <x:v>打击乐器</x:v>
      </x:c>
      <x:c r="D35" s="40" t="str">
        <x:v>古典</x:v>
      </x:c>
      <x:c r="E35" s="40" t="str">
        <x:v>紫</x:v>
      </x:c>
      <x:c r="F35" s="37" t="n">
        <x:v>4</x:v>
      </x:c>
      <x:c r="G35" s="37" t="n">
        <x:v>1</x:v>
      </x:c>
      <x:c r="H35" s="37" t="n">
        <x:f>F35*G35</x:f>
        <x:v>4</x:v>
      </x:c>
      <x:c r="I35" s="43" t="str">
        <x:v>同名2件</x:v>
      </x:c>
      <x:c r="J35" s="43" t="str">
        <x:v>同名</x:v>
      </x:c>
      <x:c r="K35" s="43" t="str">
        <x:v>PC04</x:v>
      </x:c>
      <x:c r="L35" s="43" t="n">
        <x:v>2</x:v>
      </x:c>
      <x:c r="M35" s="43" t="n">
        <x:v>38</x:v>
      </x:c>
      <x:c r="N35" s="43" t="n">
        <x:v>49</x:v>
      </x:c>
      <x:c r="O35" s="43" t="n">
        <x:v>63</x:v>
      </x:c>
      <x:c r="P35" s="43" t="n">
        <x:v>78</x:v>
      </x:c>
      <x:c r="Q35" s="43" t="n">
        <x:v>95</x:v>
      </x:c>
      <x:c r="R35" s="43" t="n">
        <x:v>5</x:v>
      </x:c>
      <x:c r="S35" s="43" t="n">
        <x:v>7</x:v>
      </x:c>
      <x:c r="T35" s="43" t="n">
        <x:v>9</x:v>
      </x:c>
      <x:c r="U35" s="43" t="n">
        <x:v>11</x:v>
      </x:c>
      <x:c r="V35" s="43" t="n">
        <x:v>14</x:v>
      </x:c>
      <x:c r="W35" s="40" t="str">
        <x:v>{"type":"targetBuff","scope":"direction","filter":{"category":["打击乐器"]},"cap":3,"excludeSource":true,"directions":["down"],"excludeAdjacent":false,"valueMode":"absolute"}</x:v>
      </x:c>
      <x:c r="X35" s="44" t="str">
        <x:v>使下方的其他打击乐器道具各增加[5／7／9／11／14]表演值，最多3件</x:v>
      </x:c>
    </x:row>
    <x:row r="36" ht="42" customHeight="1">
      <x:c r="A36" s="39" t="str">
        <x:v>PC05</x:v>
      </x:c>
      <x:c r="B36" s="40" t="str">
        <x:v>交响对镲</x:v>
      </x:c>
      <x:c r="C36" s="40" t="str">
        <x:v>打击乐器</x:v>
      </x:c>
      <x:c r="D36" s="40" t="str">
        <x:v>古典</x:v>
      </x:c>
      <x:c r="E36" s="40" t="str">
        <x:v>紫</x:v>
      </x:c>
      <x:c r="F36" s="37" t="n">
        <x:v>2</x:v>
      </x:c>
      <x:c r="G36" s="37" t="n">
        <x:v>2</x:v>
      </x:c>
      <x:c r="H36" s="37" t="n">
        <x:f>F36*G36</x:f>
        <x:v>4</x:v>
      </x:c>
      <x:c r="I36" s="43" t="str">
        <x:v>同名3件</x:v>
      </x:c>
      <x:c r="J36" s="43" t="str">
        <x:v>同名</x:v>
      </x:c>
      <x:c r="K36" s="43" t="str">
        <x:v>PC05</x:v>
      </x:c>
      <x:c r="L36" s="43" t="n">
        <x:v>3</x:v>
      </x:c>
      <x:c r="M36" s="43" t="n">
        <x:v>38</x:v>
      </x:c>
      <x:c r="N36" s="43" t="n">
        <x:v>49</x:v>
      </x:c>
      <x:c r="O36" s="43" t="n">
        <x:v>63</x:v>
      </x:c>
      <x:c r="P36" s="43" t="n">
        <x:v>78</x:v>
      </x:c>
      <x:c r="Q36" s="43" t="n">
        <x:v>95</x:v>
      </x:c>
      <x:c r="R36" s="43" t="n">
        <x:v>5</x:v>
      </x:c>
      <x:c r="S36" s="43" t="n">
        <x:v>6</x:v>
      </x:c>
      <x:c r="T36" s="43" t="n">
        <x:v>8</x:v>
      </x:c>
      <x:c r="U36" s="43" t="n">
        <x:v>10</x:v>
      </x:c>
      <x:c r="V36" s="43" t="n">
        <x:v>12</x:v>
      </x:c>
      <x:c r="W36" s="40" t="str">
        <x:v>{"type":"targetBuff","scope":"adjacent","filter":{"category":["打击乐器"]},"cap":3,"excludeSource":true,"directions":[],"excludeAdjacent":false,"valueMode":"absolute"}</x:v>
      </x:c>
      <x:c r="X36" s="44" t="str">
        <x:v>使相邻的其他打击乐器道具各增加[5／6／8／10／12]表演值，最多3件</x:v>
      </x:c>
    </x:row>
    <x:row r="37" ht="42" customHeight="1">
      <x:c r="A37" s="39" t="str">
        <x:v>PC06</x:v>
      </x:c>
      <x:c r="B37" s="40" t="str">
        <x:v>音乐会钟琴</x:v>
      </x:c>
      <x:c r="C37" s="40" t="str">
        <x:v>打击乐器</x:v>
      </x:c>
      <x:c r="D37" s="40" t="str">
        <x:v>现代</x:v>
      </x:c>
      <x:c r="E37" s="40" t="str">
        <x:v>紫</x:v>
      </x:c>
      <x:c r="F37" s="37" t="n">
        <x:v>3</x:v>
      </x:c>
      <x:c r="G37" s="37" t="n">
        <x:v>1</x:v>
      </x:c>
      <x:c r="H37" s="37" t="n">
        <x:f>F37*G37</x:f>
        <x:v>3</x:v>
      </x:c>
      <x:c r="I37" s="43" t="str">
        <x:v>同名3件</x:v>
      </x:c>
      <x:c r="J37" s="43" t="str">
        <x:v>同名</x:v>
      </x:c>
      <x:c r="K37" s="43" t="str">
        <x:v>PC06</x:v>
      </x:c>
      <x:c r="L37" s="43" t="n">
        <x:v>3</x:v>
      </x:c>
      <x:c r="M37" s="43" t="n">
        <x:v>30</x:v>
      </x:c>
      <x:c r="N37" s="43" t="n">
        <x:v>39</x:v>
      </x:c>
      <x:c r="O37" s="43" t="n">
        <x:v>50</x:v>
      </x:c>
      <x:c r="P37" s="43" t="n">
        <x:v>61</x:v>
      </x:c>
      <x:c r="Q37" s="43" t="n">
        <x:v>75</x:v>
      </x:c>
      <x:c r="R37" s="43" t="n">
        <x:v>5</x:v>
      </x:c>
      <x:c r="S37" s="43" t="n">
        <x:v>6</x:v>
      </x:c>
      <x:c r="T37" s="43" t="n">
        <x:v>8</x:v>
      </x:c>
      <x:c r="U37" s="43" t="n">
        <x:v>10</x:v>
      </x:c>
      <x:c r="V37" s="43" t="n">
        <x:v>12</x:v>
      </x:c>
      <x:c r="W37" s="40" t="str">
        <x:v>{"type":"targetBuff","scope":"direction","filter":{"category":["打击乐器"]},"cap":3,"excludeSource":true,"directions":["left"],"excludeAdjacent":false,"valueMode":"absolute"}</x:v>
      </x:c>
      <x:c r="X37" s="44" t="str">
        <x:v>使左侧的其他打击乐器道具各增加[5／6／8／10／12]表演值，最多3件</x:v>
      </x:c>
    </x:row>
    <x:row r="38" ht="42" customHeight="1">
      <x:c r="A38" s="39" t="str">
        <x:v>PC07</x:v>
      </x:c>
      <x:c r="B38" s="40" t="str">
        <x:v>音乐会小军鼓</x:v>
      </x:c>
      <x:c r="C38" s="40" t="str">
        <x:v>打击乐器</x:v>
      </x:c>
      <x:c r="D38" s="40" t="str">
        <x:v>现代</x:v>
      </x:c>
      <x:c r="E38" s="40" t="str">
        <x:v>蓝</x:v>
      </x:c>
      <x:c r="F38" s="37" t="n">
        <x:v>2</x:v>
      </x:c>
      <x:c r="G38" s="37" t="n">
        <x:v>1</x:v>
      </x:c>
      <x:c r="H38" s="37" t="n">
        <x:f>F38*G38</x:f>
        <x:v>2</x:v>
      </x:c>
      <x:c r="I38" s="43" t="str">
        <x:v>同名3件</x:v>
      </x:c>
      <x:c r="J38" s="43" t="str">
        <x:v>同名</x:v>
      </x:c>
      <x:c r="K38" s="43" t="str">
        <x:v>PC07</x:v>
      </x:c>
      <x:c r="L38" s="43" t="n">
        <x:v>3</x:v>
      </x:c>
      <x:c r="M38" s="43" t="n">
        <x:v>17</x:v>
      </x:c>
      <x:c r="N38" s="43" t="n">
        <x:v>22</x:v>
      </x:c>
      <x:c r="O38" s="43" t="n">
        <x:v>28</x:v>
      </x:c>
      <x:c r="P38" s="43" t="n">
        <x:v>35</x:v>
      </x:c>
      <x:c r="Q38" s="43" t="n">
        <x:v>43</x:v>
      </x:c>
      <x:c r="R38" s="43" t="n">
        <x:v>7</x:v>
      </x:c>
      <x:c r="S38" s="43" t="n">
        <x:v>9</x:v>
      </x:c>
      <x:c r="T38" s="43" t="n">
        <x:v>12</x:v>
      </x:c>
      <x:c r="U38" s="43" t="n">
        <x:v>14</x:v>
      </x:c>
      <x:c r="V38" s="43" t="n">
        <x:v>18</x:v>
      </x:c>
      <x:c r="W38" s="40" t="str">
        <x:v>{"type":"targetBuff","scope":"adjacent","filter":{"category":["打击乐器"]},"cap":1,"excludeSource":true,"directions":[],"excludeAdjacent":false,"valueMode":"absolute"}</x:v>
      </x:c>
      <x:c r="X38" s="44" t="str">
        <x:v>使相邻的1件其他打击乐器道具增加[7／9／12／14／18]表演值</x:v>
      </x:c>
    </x:row>
    <x:row r="39" ht="42" customHeight="1">
      <x:c r="A39" s="39" t="str">
        <x:v>PC08</x:v>
      </x:c>
      <x:c r="B39" s="40" t="str">
        <x:v>剧场木鱼</x:v>
      </x:c>
      <x:c r="C39" s="40" t="str">
        <x:v>打击乐器</x:v>
      </x:c>
      <x:c r="D39" s="40" t="str">
        <x:v>现代</x:v>
      </x:c>
      <x:c r="E39" s="40" t="str">
        <x:v>蓝</x:v>
      </x:c>
      <x:c r="F39" s="37" t="n">
        <x:v>1</x:v>
      </x:c>
      <x:c r="G39" s="37" t="n">
        <x:v>2</x:v>
      </x:c>
      <x:c r="H39" s="37" t="n">
        <x:f>F39*G39</x:f>
        <x:v>2</x:v>
      </x:c>
      <x:c r="I39" s="43" t="str">
        <x:v>同名3件</x:v>
      </x:c>
      <x:c r="J39" s="43" t="str">
        <x:v>同名</x:v>
      </x:c>
      <x:c r="K39" s="43" t="str">
        <x:v>PC08</x:v>
      </x:c>
      <x:c r="L39" s="43" t="n">
        <x:v>3</x:v>
      </x:c>
      <x:c r="M39" s="43" t="n">
        <x:v>17</x:v>
      </x:c>
      <x:c r="N39" s="43" t="n">
        <x:v>22</x:v>
      </x:c>
      <x:c r="O39" s="43" t="n">
        <x:v>28</x:v>
      </x:c>
      <x:c r="P39" s="43" t="n">
        <x:v>35</x:v>
      </x:c>
      <x:c r="Q39" s="43" t="n">
        <x:v>43</x:v>
      </x:c>
      <x:c r="R39" s="43" t="n">
        <x:v>7</x:v>
      </x:c>
      <x:c r="S39" s="43" t="n">
        <x:v>9</x:v>
      </x:c>
      <x:c r="T39" s="43" t="n">
        <x:v>12</x:v>
      </x:c>
      <x:c r="U39" s="43" t="n">
        <x:v>14</x:v>
      </x:c>
      <x:c r="V39" s="43" t="n">
        <x:v>18</x:v>
      </x:c>
      <x:c r="W39" s="40" t="str">
        <x:v>{"type":"targetBuff","scope":"adjacent","filter":{"category":["打击乐器"]},"cap":1,"excludeSource":true,"directions":[],"excludeAdjacent":false,"valueMode":"absolute"}</x:v>
      </x:c>
      <x:c r="X39" s="44" t="str">
        <x:v>使相邻的1件其他打击乐器道具增加[7／9／12／14／18]表演值</x:v>
      </x:c>
    </x:row>
    <x:row r="40" ht="42" customHeight="1">
      <x:c r="A40" s="39" t="str">
        <x:v>PC09</x:v>
      </x:c>
      <x:c r="B40" s="40" t="str">
        <x:v>交响三角铁</x:v>
      </x:c>
      <x:c r="C40" s="40" t="str">
        <x:v>打击乐器</x:v>
      </x:c>
      <x:c r="D40" s="40" t="str">
        <x:v>古典</x:v>
      </x:c>
      <x:c r="E40" s="40" t="str">
        <x:v>蓝</x:v>
      </x:c>
      <x:c r="F40" s="37" t="n">
        <x:v>1</x:v>
      </x:c>
      <x:c r="G40" s="37" t="n">
        <x:v>1</x:v>
      </x:c>
      <x:c r="H40" s="37" t="n">
        <x:f>F40*G40</x:f>
        <x:v>1</x:v>
      </x:c>
      <x:c r="I40" s="43" t="str">
        <x:v>同名3件</x:v>
      </x:c>
      <x:c r="J40" s="43" t="str">
        <x:v>同名</x:v>
      </x:c>
      <x:c r="K40" s="43" t="str">
        <x:v>PC09</x:v>
      </x:c>
      <x:c r="L40" s="43" t="n">
        <x:v>3</x:v>
      </x:c>
      <x:c r="M40" s="43" t="n">
        <x:v>10</x:v>
      </x:c>
      <x:c r="N40" s="43" t="n">
        <x:v>13</x:v>
      </x:c>
      <x:c r="O40" s="43" t="n">
        <x:v>17</x:v>
      </x:c>
      <x:c r="P40" s="43" t="n">
        <x:v>21</x:v>
      </x:c>
      <x:c r="Q40" s="43" t="n">
        <x:v>25</x:v>
      </x:c>
      <x:c r="R40" s="43" t="n">
        <x:v>3</x:v>
      </x:c>
      <x:c r="S40" s="43" t="n">
        <x:v>4</x:v>
      </x:c>
      <x:c r="T40" s="43" t="n">
        <x:v>5</x:v>
      </x:c>
      <x:c r="U40" s="43" t="n">
        <x:v>6</x:v>
      </x:c>
      <x:c r="V40" s="43" t="n">
        <x:v>8</x:v>
      </x:c>
      <x:c r="W40" s="40" t="str">
        <x:v>{"type":"targetBuff","scope":"adjacent","filter":{"category":["打击乐器"]},"cap":2,"excludeSource":true,"directions":[],"excludeAdjacent":false,"valueMode":"absolute"}</x:v>
      </x:c>
      <x:c r="X40" s="44" t="str">
        <x:v>使相邻的其他打击乐器道具各增加[3／4／5／6／8]表演值，最多2件</x:v>
      </x:c>
    </x:row>
    <x:row r="41" ht="42" customHeight="1">
      <x:c r="A41" s="39" t="str">
        <x:v>PC10</x:v>
      </x:c>
      <x:c r="B41" s="40" t="str">
        <x:v>西班牙响板</x:v>
      </x:c>
      <x:c r="C41" s="40" t="str">
        <x:v>打击乐器</x:v>
      </x:c>
      <x:c r="D41" s="40" t="str">
        <x:v>现代</x:v>
      </x:c>
      <x:c r="E41" s="40" t="str">
        <x:v>蓝</x:v>
      </x:c>
      <x:c r="F41" s="37" t="n">
        <x:v>1</x:v>
      </x:c>
      <x:c r="G41" s="37" t="n">
        <x:v>1</x:v>
      </x:c>
      <x:c r="H41" s="37" t="n">
        <x:f>F41*G41</x:f>
        <x:v>1</x:v>
      </x:c>
      <x:c r="I41" s="43" t="str">
        <x:v>同名2件</x:v>
      </x:c>
      <x:c r="J41" s="43" t="str">
        <x:v>同名</x:v>
      </x:c>
      <x:c r="K41" s="43" t="str">
        <x:v>PC10</x:v>
      </x:c>
      <x:c r="L41" s="43" t="n">
        <x:v>2</x:v>
      </x:c>
      <x:c r="M41" s="43" t="n">
        <x:v>10</x:v>
      </x:c>
      <x:c r="N41" s="43" t="n">
        <x:v>13</x:v>
      </x:c>
      <x:c r="O41" s="43" t="n">
        <x:v>17</x:v>
      </x:c>
      <x:c r="P41" s="43" t="n">
        <x:v>21</x:v>
      </x:c>
      <x:c r="Q41" s="43" t="n">
        <x:v>25</x:v>
      </x:c>
      <x:c r="R41" s="43" t="n">
        <x:v>10</x:v>
      </x:c>
      <x:c r="S41" s="43" t="n">
        <x:v>13</x:v>
      </x:c>
      <x:c r="T41" s="43" t="n">
        <x:v>17</x:v>
      </x:c>
      <x:c r="U41" s="43" t="n">
        <x:v>21</x:v>
      </x:c>
      <x:c r="V41" s="43" t="n">
        <x:v>25</x:v>
      </x:c>
      <x:c r="W41" s="40" t="str">
        <x:v>{"type":"condition","clauses":[{"scope":"adjacent","filter":{"category":["打击乐器"]},"min":null,"max":0,"cap":null,"excludeSource":true,"directions":[]}],"valueMode":"absolute","recipient":"self"}</x:v>
      </x:c>
      <x:c r="X41" s="44" t="str">
        <x:v>与其他打击乐器道具均不相邻时，自身增加[10／13／17／21／25]表演值</x:v>
      </x:c>
    </x:row>
    <x:row r="42" ht="42" customHeight="1">
      <x:c r="A42" s="39" t="str">
        <x:v>CL01</x:v>
      </x:c>
      <x:c r="B42" s="40" t="str">
        <x:v>首席芭蕾舞裙</x:v>
      </x:c>
      <x:c r="C42" s="40" t="str">
        <x:v>服装</x:v>
      </x:c>
      <x:c r="D42" s="40" t="str">
        <x:v>古典</x:v>
      </x:c>
      <x:c r="E42" s="40" t="str">
        <x:v>红</x:v>
      </x:c>
      <x:c r="F42" s="37" t="n">
        <x:v>2</x:v>
      </x:c>
      <x:c r="G42" s="37" t="n">
        <x:v>2</x:v>
      </x:c>
      <x:c r="H42" s="37" t="n">
        <x:f>F42*G42</x:f>
        <x:v>4</x:v>
      </x:c>
      <x:c r="I42" s="43" t="str">
        <x:v>同名1件</x:v>
      </x:c>
      <x:c r="J42" s="43" t="str">
        <x:v>同名</x:v>
      </x:c>
      <x:c r="K42" s="43" t="str">
        <x:v>CL01</x:v>
      </x:c>
      <x:c r="L42" s="43" t="n">
        <x:v>1</x:v>
      </x:c>
      <x:c r="M42" s="43" t="n">
        <x:v>59</x:v>
      </x:c>
      <x:c r="N42" s="43" t="n">
        <x:v>77</x:v>
      </x:c>
      <x:c r="O42" s="43" t="n">
        <x:v>97</x:v>
      </x:c>
      <x:c r="P42" s="43" t="n">
        <x:v>121</x:v>
      </x:c>
      <x:c r="Q42" s="43" t="n">
        <x:v>148</x:v>
      </x:c>
      <x:c r="R42" s="43" t="n">
        <x:v>3</x:v>
      </x:c>
      <x:c r="S42" s="43" t="n">
        <x:v>4</x:v>
      </x:c>
      <x:c r="T42" s="43" t="n">
        <x:v>5</x:v>
      </x:c>
      <x:c r="U42" s="43" t="n">
        <x:v>6</x:v>
      </x:c>
      <x:c r="V42" s="43" t="n">
        <x:v>8</x:v>
      </x:c>
      <x:c r="W42" s="40" t="str">
        <x:v>{"type":"targetBuff","scope":"global","filter":{"category":["键盘乐器","弦乐器","管乐器","打击乐器"]},"cap":6,"excludeSource":true,"directions":[],"excludeAdjacent":false,"valueMode":"percent"}</x:v>
      </x:c>
      <x:c r="X42" s="44" t="str">
        <x:v>使背包中的乐器道具各增加[3／4／5／6／8]%表演值，最多6件</x:v>
      </x:c>
    </x:row>
    <x:row r="43" ht="42" customHeight="1">
      <x:c r="A43" s="39" t="str">
        <x:v>CL02</x:v>
      </x:c>
      <x:c r="B43" s="40" t="str">
        <x:v>浪漫主义芭蕾舞裙</x:v>
      </x:c>
      <x:c r="C43" s="40" t="str">
        <x:v>服装</x:v>
      </x:c>
      <x:c r="D43" s="40" t="str">
        <x:v>古典</x:v>
      </x:c>
      <x:c r="E43" s="40" t="str">
        <x:v>金</x:v>
      </x:c>
      <x:c r="F43" s="37" t="n">
        <x:v>1</x:v>
      </x:c>
      <x:c r="G43" s="37" t="n">
        <x:v>3</x:v>
      </x:c>
      <x:c r="H43" s="37" t="n">
        <x:f>F43*G43</x:f>
        <x:v>3</x:v>
      </x:c>
      <x:c r="I43" s="43" t="str">
        <x:v>同名2件</x:v>
      </x:c>
      <x:c r="J43" s="43" t="str">
        <x:v>同名</x:v>
      </x:c>
      <x:c r="K43" s="43" t="str">
        <x:v>CL02</x:v>
      </x:c>
      <x:c r="L43" s="43" t="n">
        <x:v>2</x:v>
      </x:c>
      <x:c r="M43" s="43" t="n">
        <x:v>38</x:v>
      </x:c>
      <x:c r="N43" s="43" t="n">
        <x:v>49</x:v>
      </x:c>
      <x:c r="O43" s="43" t="n">
        <x:v>63</x:v>
      </x:c>
      <x:c r="P43" s="43" t="n">
        <x:v>78</x:v>
      </x:c>
      <x:c r="Q43" s="43" t="n">
        <x:v>95</x:v>
      </x:c>
      <x:c r="R43" s="43" t="n">
        <x:v>4</x:v>
      </x:c>
      <x:c r="S43" s="43" t="n">
        <x:v>5</x:v>
      </x:c>
      <x:c r="T43" s="43" t="n">
        <x:v>6</x:v>
      </x:c>
      <x:c r="U43" s="43" t="n">
        <x:v>8</x:v>
      </x:c>
      <x:c r="V43" s="43" t="n">
        <x:v>10</x:v>
      </x:c>
      <x:c r="W43" s="40" t="str">
        <x:v>{"type":"targetBuff","scope":"adjacent","filter":{"category":["弦乐器"]},"cap":3,"excludeSource":true,"directions":[],"excludeAdjacent":false,"valueMode":"percent"}</x:v>
      </x:c>
      <x:c r="X43" s="44" t="str">
        <x:v>使相邻的弦乐器道具各增加[4／5／6／8／10]%表演值，最多3件</x:v>
      </x:c>
    </x:row>
    <x:row r="44" ht="42" customHeight="1">
      <x:c r="A44" s="39" t="str">
        <x:v>CL03</x:v>
      </x:c>
      <x:c r="B44" s="40" t="str">
        <x:v>歌剧女主角礼服</x:v>
      </x:c>
      <x:c r="C44" s="40" t="str">
        <x:v>服装</x:v>
      </x:c>
      <x:c r="D44" s="40" t="str">
        <x:v>古典</x:v>
      </x:c>
      <x:c r="E44" s="40" t="str">
        <x:v>金</x:v>
      </x:c>
      <x:c r="F44" s="37" t="n">
        <x:v>2</x:v>
      </x:c>
      <x:c r="G44" s="37" t="n">
        <x:v>2</x:v>
      </x:c>
      <x:c r="H44" s="37" t="n">
        <x:f>F44*G44</x:f>
        <x:v>4</x:v>
      </x:c>
      <x:c r="I44" s="43" t="str">
        <x:v>同名2件</x:v>
      </x:c>
      <x:c r="J44" s="43" t="str">
        <x:v>同名</x:v>
      </x:c>
      <x:c r="K44" s="43" t="str">
        <x:v>CL03</x:v>
      </x:c>
      <x:c r="L44" s="43" t="n">
        <x:v>2</x:v>
      </x:c>
      <x:c r="M44" s="43" t="n">
        <x:v>48</x:v>
      </x:c>
      <x:c r="N44" s="43" t="n">
        <x:v>62</x:v>
      </x:c>
      <x:c r="O44" s="43" t="n">
        <x:v>79</x:v>
      </x:c>
      <x:c r="P44" s="43" t="n">
        <x:v>98</x:v>
      </x:c>
      <x:c r="Q44" s="43" t="n">
        <x:v>120</x:v>
      </x:c>
      <x:c r="R44" s="43" t="n">
        <x:v>3</x:v>
      </x:c>
      <x:c r="S44" s="43" t="n">
        <x:v>4</x:v>
      </x:c>
      <x:c r="T44" s="43" t="n">
        <x:v>5</x:v>
      </x:c>
      <x:c r="U44" s="43" t="n">
        <x:v>6</x:v>
      </x:c>
      <x:c r="V44" s="43" t="n">
        <x:v>8</x:v>
      </x:c>
      <x:c r="W44" s="40" t="str">
        <x:v>{"type":"targetBuff","scope":"adjacent","filter":{"category":["键盘乐器","弦乐器","管乐器","打击乐器"]},"cap":4,"excludeSource":true,"directions":[],"excludeAdjacent":false,"valueMode":"percent"}</x:v>
      </x:c>
      <x:c r="X44" s="44" t="str">
        <x:v>使相邻的乐器道具各增加[3／4／5／6／8]%表演值，最多4件</x:v>
      </x:c>
    </x:row>
    <x:row r="45" ht="42" customHeight="1">
      <x:c r="A45" s="39" t="str">
        <x:v>CL04</x:v>
      </x:c>
      <x:c r="B45" s="40" t="str">
        <x:v>爵士舞台燕尾服</x:v>
      </x:c>
      <x:c r="C45" s="40" t="str">
        <x:v>服装</x:v>
      </x:c>
      <x:c r="D45" s="40" t="str">
        <x:v>现代</x:v>
      </x:c>
      <x:c r="E45" s="40" t="str">
        <x:v>紫</x:v>
      </x:c>
      <x:c r="F45" s="37" t="n">
        <x:v>1</x:v>
      </x:c>
      <x:c r="G45" s="37" t="n">
        <x:v>1</x:v>
      </x:c>
      <x:c r="H45" s="37" t="n">
        <x:f>F45*G45</x:f>
        <x:v>1</x:v>
      </x:c>
      <x:c r="I45" s="43" t="str">
        <x:v>同名2件</x:v>
      </x:c>
      <x:c r="J45" s="43" t="str">
        <x:v>同名</x:v>
      </x:c>
      <x:c r="K45" s="43" t="str">
        <x:v>CL04</x:v>
      </x:c>
      <x:c r="L45" s="43" t="n">
        <x:v>2</x:v>
      </x:c>
      <x:c r="M45" s="43" t="n">
        <x:v>13</x:v>
      </x:c>
      <x:c r="N45" s="43" t="n">
        <x:v>17</x:v>
      </x:c>
      <x:c r="O45" s="43" t="n">
        <x:v>21</x:v>
      </x:c>
      <x:c r="P45" s="43" t="n">
        <x:v>27</x:v>
      </x:c>
      <x:c r="Q45" s="43" t="n">
        <x:v>33</x:v>
      </x:c>
      <x:c r="R45" s="43" t="n">
        <x:v>7</x:v>
      </x:c>
      <x:c r="S45" s="43" t="n">
        <x:v>9</x:v>
      </x:c>
      <x:c r="T45" s="43" t="n">
        <x:v>12</x:v>
      </x:c>
      <x:c r="U45" s="43" t="n">
        <x:v>14</x:v>
      </x:c>
      <x:c r="V45" s="43" t="n">
        <x:v>18</x:v>
      </x:c>
      <x:c r="W45" s="40" t="str">
        <x:v>{"type":"targetBuff","scope":"adjacent","filter":{"category":["键盘乐器","弦乐器","管乐器","打击乐器"]},"cap":2,"excludeSource":true,"directions":[],"excludeAdjacent":false,"valueMode":"absolute"}</x:v>
      </x:c>
      <x:c r="X45" s="44" t="str">
        <x:v>使相邻的乐器道具各增加[7／9／12／14／18]表演值，最多2件</x:v>
      </x:c>
    </x:row>
    <x:row r="46" ht="42" customHeight="1">
      <x:c r="A46" s="39" t="str">
        <x:v>CL05</x:v>
      </x:c>
      <x:c r="B46" s="40" t="str">
        <x:v>歌剧披风</x:v>
      </x:c>
      <x:c r="C46" s="40" t="str">
        <x:v>服装</x:v>
      </x:c>
      <x:c r="D46" s="40" t="str">
        <x:v>古典</x:v>
      </x:c>
      <x:c r="E46" s="40" t="str">
        <x:v>紫</x:v>
      </x:c>
      <x:c r="F46" s="37" t="n">
        <x:v>2</x:v>
      </x:c>
      <x:c r="G46" s="37" t="n">
        <x:v>2</x:v>
      </x:c>
      <x:c r="H46" s="37" t="n">
        <x:f>F46*G46</x:f>
        <x:v>4</x:v>
      </x:c>
      <x:c r="I46" s="43" t="str">
        <x:v>同名3件</x:v>
      </x:c>
      <x:c r="J46" s="43" t="str">
        <x:v>同名</x:v>
      </x:c>
      <x:c r="K46" s="43" t="str">
        <x:v>CL05</x:v>
      </x:c>
      <x:c r="L46" s="43" t="n">
        <x:v>3</x:v>
      </x:c>
      <x:c r="M46" s="43" t="n">
        <x:v>38</x:v>
      </x:c>
      <x:c r="N46" s="43" t="n">
        <x:v>49</x:v>
      </x:c>
      <x:c r="O46" s="43" t="n">
        <x:v>63</x:v>
      </x:c>
      <x:c r="P46" s="43" t="n">
        <x:v>78</x:v>
      </x:c>
      <x:c r="Q46" s="43" t="n">
        <x:v>95</x:v>
      </x:c>
      <x:c r="R46" s="43" t="n">
        <x:v>5</x:v>
      </x:c>
      <x:c r="S46" s="43" t="n">
        <x:v>6</x:v>
      </x:c>
      <x:c r="T46" s="43" t="n">
        <x:v>8</x:v>
      </x:c>
      <x:c r="U46" s="43" t="n">
        <x:v>10</x:v>
      </x:c>
      <x:c r="V46" s="43" t="n">
        <x:v>12</x:v>
      </x:c>
      <x:c r="W46" s="40" t="str">
        <x:v>{"type":"targetBuff","scope":"global","filter":{"category":["键盘乐器","弦乐器","管乐器","打击乐器"]},"cap":3,"excludeSource":true,"directions":[],"excludeAdjacent":false,"valueMode":"absolute"}</x:v>
      </x:c>
      <x:c r="X46" s="44" t="str">
        <x:v>使背包中的乐器道具各增加[5／6／8／10／12]表演值，最多3件</x:v>
      </x:c>
    </x:row>
    <x:row r="47" ht="42" customHeight="1">
      <x:c r="A47" s="39" t="str">
        <x:v>CL06</x:v>
      </x:c>
      <x:c r="B47" s="40" t="str">
        <x:v>流苏爵士舞裙</x:v>
      </x:c>
      <x:c r="C47" s="40" t="str">
        <x:v>服装</x:v>
      </x:c>
      <x:c r="D47" s="40" t="str">
        <x:v>现代</x:v>
      </x:c>
      <x:c r="E47" s="40" t="str">
        <x:v>紫</x:v>
      </x:c>
      <x:c r="F47" s="37" t="n">
        <x:v>3</x:v>
      </x:c>
      <x:c r="G47" s="37" t="n">
        <x:v>1</x:v>
      </x:c>
      <x:c r="H47" s="37" t="n">
        <x:f>F47*G47</x:f>
        <x:v>3</x:v>
      </x:c>
      <x:c r="I47" s="43" t="str">
        <x:v>同名3件</x:v>
      </x:c>
      <x:c r="J47" s="43" t="str">
        <x:v>同名</x:v>
      </x:c>
      <x:c r="K47" s="43" t="str">
        <x:v>CL06</x:v>
      </x:c>
      <x:c r="L47" s="43" t="n">
        <x:v>3</x:v>
      </x:c>
      <x:c r="M47" s="43" t="n">
        <x:v>30</x:v>
      </x:c>
      <x:c r="N47" s="43" t="n">
        <x:v>39</x:v>
      </x:c>
      <x:c r="O47" s="43" t="n">
        <x:v>50</x:v>
      </x:c>
      <x:c r="P47" s="43" t="n">
        <x:v>61</x:v>
      </x:c>
      <x:c r="Q47" s="43" t="n">
        <x:v>75</x:v>
      </x:c>
      <x:c r="R47" s="43" t="n">
        <x:v>5</x:v>
      </x:c>
      <x:c r="S47" s="43" t="n">
        <x:v>6</x:v>
      </x:c>
      <x:c r="T47" s="43" t="n">
        <x:v>8</x:v>
      </x:c>
      <x:c r="U47" s="43" t="n">
        <x:v>10</x:v>
      </x:c>
      <x:c r="V47" s="43" t="n">
        <x:v>12</x:v>
      </x:c>
      <x:c r="W47" s="40" t="str">
        <x:v>{"type":"targetBuff","scope":"direction","filter":{"category":["键盘乐器","弦乐器","管乐器","打击乐器"]},"cap":3,"excludeSource":true,"directions":["left","right"],"excludeAdjacent":false,"valueMode":"absolute"}</x:v>
      </x:c>
      <x:c r="X47" s="44" t="str">
        <x:v>使左侧和右侧的乐器道具各增加[5／6／8／10／12]表演值，最多3件</x:v>
      </x:c>
    </x:row>
    <x:row r="48" ht="42" customHeight="1">
      <x:c r="A48" s="39" t="str">
        <x:v>CL07</x:v>
      </x:c>
      <x:c r="B48" s="40" t="str">
        <x:v>缎面足尖鞋</x:v>
      </x:c>
      <x:c r="C48" s="40" t="str">
        <x:v>服装</x:v>
      </x:c>
      <x:c r="D48" s="40" t="str">
        <x:v>古典</x:v>
      </x:c>
      <x:c r="E48" s="40" t="str">
        <x:v>蓝</x:v>
      </x:c>
      <x:c r="F48" s="37" t="n">
        <x:v>1</x:v>
      </x:c>
      <x:c r="G48" s="37" t="n">
        <x:v>2</x:v>
      </x:c>
      <x:c r="H48" s="37" t="n">
        <x:f>F48*G48</x:f>
        <x:v>2</x:v>
      </x:c>
      <x:c r="I48" s="43" t="str">
        <x:v>同名3件</x:v>
      </x:c>
      <x:c r="J48" s="43" t="str">
        <x:v>同名</x:v>
      </x:c>
      <x:c r="K48" s="43" t="str">
        <x:v>CL07</x:v>
      </x:c>
      <x:c r="L48" s="43" t="n">
        <x:v>3</x:v>
      </x:c>
      <x:c r="M48" s="43" t="n">
        <x:v>17</x:v>
      </x:c>
      <x:c r="N48" s="43" t="n">
        <x:v>22</x:v>
      </x:c>
      <x:c r="O48" s="43" t="n">
        <x:v>28</x:v>
      </x:c>
      <x:c r="P48" s="43" t="n">
        <x:v>35</x:v>
      </x:c>
      <x:c r="Q48" s="43" t="n">
        <x:v>43</x:v>
      </x:c>
      <x:c r="R48" s="43" t="n">
        <x:v>4</x:v>
      </x:c>
      <x:c r="S48" s="43" t="n">
        <x:v>5</x:v>
      </x:c>
      <x:c r="T48" s="43" t="n">
        <x:v>6</x:v>
      </x:c>
      <x:c r="U48" s="43" t="n">
        <x:v>8</x:v>
      </x:c>
      <x:c r="V48" s="43" t="n">
        <x:v>10</x:v>
      </x:c>
      <x:c r="W48" s="40" t="str">
        <x:v>{"type":"targetBuff","scope":"adjacent","filter":{"category":["弦乐器"]},"cap":2,"excludeSource":true,"directions":[],"excludeAdjacent":false,"valueMode":"absolute"}</x:v>
      </x:c>
      <x:c r="X48" s="44" t="str">
        <x:v>使相邻的弦乐器道具各增加[4／5／6／8／10]表演值，最多2件</x:v>
      </x:c>
    </x:row>
    <x:row r="49" ht="42" customHeight="1">
      <x:c r="A49" s="39" t="str">
        <x:v>CL08</x:v>
      </x:c>
      <x:c r="B49" s="40" t="str">
        <x:v>芭蕾花环</x:v>
      </x:c>
      <x:c r="C49" s="40" t="str">
        <x:v>服装</x:v>
      </x:c>
      <x:c r="D49" s="40" t="str">
        <x:v>古典</x:v>
      </x:c>
      <x:c r="E49" s="40" t="str">
        <x:v>蓝</x:v>
      </x:c>
      <x:c r="F49" s="37" t="n">
        <x:v>1</x:v>
      </x:c>
      <x:c r="G49" s="37" t="n">
        <x:v>1</x:v>
      </x:c>
      <x:c r="H49" s="37" t="n">
        <x:f>F49*G49</x:f>
        <x:v>1</x:v>
      </x:c>
      <x:c r="I49" s="43" t="str">
        <x:v>同名3件</x:v>
      </x:c>
      <x:c r="J49" s="43" t="str">
        <x:v>同名</x:v>
      </x:c>
      <x:c r="K49" s="43" t="str">
        <x:v>CL08</x:v>
      </x:c>
      <x:c r="L49" s="43" t="n">
        <x:v>3</x:v>
      </x:c>
      <x:c r="M49" s="43" t="n">
        <x:v>10</x:v>
      </x:c>
      <x:c r="N49" s="43" t="n">
        <x:v>13</x:v>
      </x:c>
      <x:c r="O49" s="43" t="n">
        <x:v>17</x:v>
      </x:c>
      <x:c r="P49" s="43" t="n">
        <x:v>21</x:v>
      </x:c>
      <x:c r="Q49" s="43" t="n">
        <x:v>25</x:v>
      </x:c>
      <x:c r="R49" s="43" t="n">
        <x:v>3</x:v>
      </x:c>
      <x:c r="S49" s="43" t="n">
        <x:v>4</x:v>
      </x:c>
      <x:c r="T49" s="43" t="n">
        <x:v>5</x:v>
      </x:c>
      <x:c r="U49" s="43" t="n">
        <x:v>6</x:v>
      </x:c>
      <x:c r="V49" s="43" t="n">
        <x:v>8</x:v>
      </x:c>
      <x:c r="W49" s="40" t="str">
        <x:v>{"type":"targetBuff","scope":"adjacent","filter":{"category":["弦乐器"]},"cap":2,"excludeSource":true,"directions":[],"excludeAdjacent":false,"valueMode":"absolute"}</x:v>
      </x:c>
      <x:c r="X49" s="44" t="str">
        <x:v>使相邻的弦乐器道具各增加[3／4／5／6／8]表演值，最多2件</x:v>
      </x:c>
    </x:row>
    <x:row r="50" ht="42" customHeight="1">
      <x:c r="A50" s="39" t="str">
        <x:v>CL09</x:v>
      </x:c>
      <x:c r="B50" s="40" t="str">
        <x:v>威尼斯歌剧面具</x:v>
      </x:c>
      <x:c r="C50" s="40" t="str">
        <x:v>服装</x:v>
      </x:c>
      <x:c r="D50" s="40" t="str">
        <x:v>古典</x:v>
      </x:c>
      <x:c r="E50" s="40" t="str">
        <x:v>蓝</x:v>
      </x:c>
      <x:c r="F50" s="37" t="n">
        <x:v>1</x:v>
      </x:c>
      <x:c r="G50" s="37" t="n">
        <x:v>1</x:v>
      </x:c>
      <x:c r="H50" s="37" t="n">
        <x:f>F50*G50</x:f>
        <x:v>1</x:v>
      </x:c>
      <x:c r="I50" s="43" t="str">
        <x:v>同名3件</x:v>
      </x:c>
      <x:c r="J50" s="43" t="str">
        <x:v>同名</x:v>
      </x:c>
      <x:c r="K50" s="43" t="str">
        <x:v>CL09</x:v>
      </x:c>
      <x:c r="L50" s="43" t="n">
        <x:v>3</x:v>
      </x:c>
      <x:c r="M50" s="43" t="n">
        <x:v>10</x:v>
      </x:c>
      <x:c r="N50" s="43" t="n">
        <x:v>13</x:v>
      </x:c>
      <x:c r="O50" s="43" t="n">
        <x:v>17</x:v>
      </x:c>
      <x:c r="P50" s="43" t="n">
        <x:v>21</x:v>
      </x:c>
      <x:c r="Q50" s="43" t="n">
        <x:v>25</x:v>
      </x:c>
      <x:c r="R50" s="43" t="n">
        <x:v>4</x:v>
      </x:c>
      <x:c r="S50" s="43" t="n">
        <x:v>5</x:v>
      </x:c>
      <x:c r="T50" s="43" t="n">
        <x:v>6</x:v>
      </x:c>
      <x:c r="U50" s="43" t="n">
        <x:v>8</x:v>
      </x:c>
      <x:c r="V50" s="43" t="n">
        <x:v>10</x:v>
      </x:c>
      <x:c r="W50" s="40" t="str">
        <x:v>{"type":"targetBuff","scope":"global","filter":{"category":["键盘乐器","弦乐器","管乐器","打击乐器"]},"cap":2,"excludeSource":true,"directions":[],"excludeAdjacent":false,"valueMode":"absolute"}</x:v>
      </x:c>
      <x:c r="X50" s="44" t="str">
        <x:v>使背包中的乐器道具各增加[4／5／6／8／10]表演值，最多2件</x:v>
      </x:c>
    </x:row>
    <x:row r="51" ht="42" customHeight="1">
      <x:c r="A51" s="39" t="str">
        <x:v>CL10</x:v>
      </x:c>
      <x:c r="B51" s="40" t="str">
        <x:v>平顶爵士礼帽</x:v>
      </x:c>
      <x:c r="C51" s="40" t="str">
        <x:v>服装</x:v>
      </x:c>
      <x:c r="D51" s="40" t="str">
        <x:v>现代</x:v>
      </x:c>
      <x:c r="E51" s="40" t="str">
        <x:v>蓝</x:v>
      </x:c>
      <x:c r="F51" s="37" t="n">
        <x:v>1</x:v>
      </x:c>
      <x:c r="G51" s="37" t="n">
        <x:v>1</x:v>
      </x:c>
      <x:c r="H51" s="37" t="n">
        <x:f>F51*G51</x:f>
        <x:v>1</x:v>
      </x:c>
      <x:c r="I51" s="43" t="str">
        <x:v>同名3件</x:v>
      </x:c>
      <x:c r="J51" s="43" t="str">
        <x:v>同名</x:v>
      </x:c>
      <x:c r="K51" s="43" t="str">
        <x:v>CL10</x:v>
      </x:c>
      <x:c r="L51" s="43" t="n">
        <x:v>3</x:v>
      </x:c>
      <x:c r="M51" s="43" t="n">
        <x:v>10</x:v>
      </x:c>
      <x:c r="N51" s="43" t="n">
        <x:v>13</x:v>
      </x:c>
      <x:c r="O51" s="43" t="n">
        <x:v>17</x:v>
      </x:c>
      <x:c r="P51" s="43" t="n">
        <x:v>21</x:v>
      </x:c>
      <x:c r="Q51" s="43" t="n">
        <x:v>25</x:v>
      </x:c>
      <x:c r="R51" s="43" t="n">
        <x:v>4</x:v>
      </x:c>
      <x:c r="S51" s="43" t="n">
        <x:v>5</x:v>
      </x:c>
      <x:c r="T51" s="43" t="n">
        <x:v>6</x:v>
      </x:c>
      <x:c r="U51" s="43" t="n">
        <x:v>8</x:v>
      </x:c>
      <x:c r="V51" s="43" t="n">
        <x:v>10</x:v>
      </x:c>
      <x:c r="W51" s="40" t="str">
        <x:v>{"type":"targetBuff","scope":"adjacent","filter":{"category":["键盘乐器","弦乐器","管乐器","打击乐器"]},"cap":2,"excludeSource":true,"directions":[],"excludeAdjacent":false,"valueMode":"absolute"}</x:v>
      </x:c>
      <x:c r="X51" s="44" t="str">
        <x:v>使相邻的乐器道具各增加[4／5／6／8／10]表演值，最多2件</x:v>
      </x:c>
    </x:row>
    <x:row r="52" ht="42" customHeight="1">
      <x:c r="A52" s="39" t="str">
        <x:v>SG01</x:v>
      </x:c>
      <x:c r="B52" s="40" t="str">
        <x:v>镜框舞台门</x:v>
      </x:c>
      <x:c r="C52" s="40" t="str">
        <x:v>舞台装饰</x:v>
      </x:c>
      <x:c r="D52" s="40" t="str">
        <x:v>古典</x:v>
      </x:c>
      <x:c r="E52" s="40" t="str">
        <x:v>红</x:v>
      </x:c>
      <x:c r="F52" s="37" t="n">
        <x:v>4</x:v>
      </x:c>
      <x:c r="G52" s="37" t="n">
        <x:v>3</x:v>
      </x:c>
      <x:c r="H52" s="37" t="n">
        <x:f>F52*G52</x:f>
        <x:v>12</x:v>
      </x:c>
      <x:c r="I52" s="43" t="str">
        <x:v>同名1件</x:v>
      </x:c>
      <x:c r="J52" s="43" t="str">
        <x:v>同名</x:v>
      </x:c>
      <x:c r="K52" s="43" t="str">
        <x:v>SG01</x:v>
      </x:c>
      <x:c r="L52" s="43" t="n">
        <x:v>1</x:v>
      </x:c>
      <x:c r="M52" s="43" t="n">
        <x:v>123</x:v>
      </x:c>
      <x:c r="N52" s="43" t="n">
        <x:v>160</x:v>
      </x:c>
      <x:c r="O52" s="43" t="n">
        <x:v>203</x:v>
      </x:c>
      <x:c r="P52" s="43" t="n">
        <x:v>252</x:v>
      </x:c>
      <x:c r="Q52" s="43" t="n">
        <x:v>308</x:v>
      </x:c>
      <x:c r="R52" s="43" t="n">
        <x:v>4</x:v>
      </x:c>
      <x:c r="S52" s="43" t="n">
        <x:v>5</x:v>
      </x:c>
      <x:c r="T52" s="43" t="n">
        <x:v>6</x:v>
      </x:c>
      <x:c r="U52" s="43" t="n">
        <x:v>8</x:v>
      </x:c>
      <x:c r="V52" s="43" t="n">
        <x:v>10</x:v>
      </x:c>
      <x:c r="W52" s="40" t="str">
        <x:v>{"type":"targetBuff","scope":"global","filter":{"category":["键盘乐器","弦乐器","管乐器","打击乐器"]},"cap":6,"excludeSource":true,"directions":[],"excludeAdjacent":false,"valueMode":"percent"}</x:v>
      </x:c>
      <x:c r="X52" s="44" t="str">
        <x:v>使背包中的乐器道具各增加[4／5／6／8／10]%表演值，最多6件</x:v>
      </x:c>
    </x:row>
    <x:row r="53" ht="42" customHeight="1">
      <x:c r="A53" s="39" t="str">
        <x:v>SG02</x:v>
      </x:c>
      <x:c r="B53" s="40" t="str">
        <x:v>石灰聚光灯组</x:v>
      </x:c>
      <x:c r="C53" s="40" t="str">
        <x:v>舞台装饰</x:v>
      </x:c>
      <x:c r="D53" s="40" t="str">
        <x:v>古典</x:v>
      </x:c>
      <x:c r="E53" s="40" t="str">
        <x:v>金</x:v>
      </x:c>
      <x:c r="F53" s="37" t="n">
        <x:v>2</x:v>
      </x:c>
      <x:c r="G53" s="37" t="n">
        <x:v>2</x:v>
      </x:c>
      <x:c r="H53" s="37" t="n">
        <x:f>F53*G53</x:f>
        <x:v>4</x:v>
      </x:c>
      <x:c r="I53" s="43" t="str">
        <x:v>同名2件</x:v>
      </x:c>
      <x:c r="J53" s="43" t="str">
        <x:v>同名</x:v>
      </x:c>
      <x:c r="K53" s="43" t="str">
        <x:v>SG02</x:v>
      </x:c>
      <x:c r="L53" s="43" t="n">
        <x:v>2</x:v>
      </x:c>
      <x:c r="M53" s="43" t="n">
        <x:v>48</x:v>
      </x:c>
      <x:c r="N53" s="43" t="n">
        <x:v>62</x:v>
      </x:c>
      <x:c r="O53" s="43" t="n">
        <x:v>79</x:v>
      </x:c>
      <x:c r="P53" s="43" t="n">
        <x:v>98</x:v>
      </x:c>
      <x:c r="Q53" s="43" t="n">
        <x:v>120</x:v>
      </x:c>
      <x:c r="R53" s="43" t="n">
        <x:v>3</x:v>
      </x:c>
      <x:c r="S53" s="43" t="n">
        <x:v>4</x:v>
      </x:c>
      <x:c r="T53" s="43" t="n">
        <x:v>5</x:v>
      </x:c>
      <x:c r="U53" s="43" t="n">
        <x:v>6</x:v>
      </x:c>
      <x:c r="V53" s="43" t="n">
        <x:v>8</x:v>
      </x:c>
      <x:c r="W53" s="40" t="str">
        <x:v>{"type":"targetBuff","scope":"direction","filter":{"category":["键盘乐器","弦乐器","管乐器","打击乐器"]},"cap":4,"excludeSource":true,"directions":["left","right"],"excludeAdjacent":false,"valueMode":"percent"}</x:v>
      </x:c>
      <x:c r="X53" s="44" t="str">
        <x:v>使左侧和右侧的乐器道具各增加[3／4／5／6／8]%表演值，最多4件</x:v>
      </x:c>
    </x:row>
    <x:row r="54" ht="42" customHeight="1">
      <x:c r="A54" s="39" t="str">
        <x:v>SG03</x:v>
      </x:c>
      <x:c r="B54" s="40" t="str">
        <x:v>音乐厅回声板</x:v>
      </x:c>
      <x:c r="C54" s="40" t="str">
        <x:v>舞台装饰</x:v>
      </x:c>
      <x:c r="D54" s="40" t="str">
        <x:v>现代</x:v>
      </x:c>
      <x:c r="E54" s="40" t="str">
        <x:v>金</x:v>
      </x:c>
      <x:c r="F54" s="37" t="n">
        <x:v>2</x:v>
      </x:c>
      <x:c r="G54" s="37" t="n">
        <x:v>2</x:v>
      </x:c>
      <x:c r="H54" s="37" t="n">
        <x:f>F54*G54</x:f>
        <x:v>4</x:v>
      </x:c>
      <x:c r="I54" s="43" t="str">
        <x:v>同名2件</x:v>
      </x:c>
      <x:c r="J54" s="43" t="str">
        <x:v>同名</x:v>
      </x:c>
      <x:c r="K54" s="43" t="str">
        <x:v>SG03</x:v>
      </x:c>
      <x:c r="L54" s="43" t="n">
        <x:v>2</x:v>
      </x:c>
      <x:c r="M54" s="43" t="n">
        <x:v>48</x:v>
      </x:c>
      <x:c r="N54" s="43" t="n">
        <x:v>62</x:v>
      </x:c>
      <x:c r="O54" s="43" t="n">
        <x:v>79</x:v>
      </x:c>
      <x:c r="P54" s="43" t="n">
        <x:v>98</x:v>
      </x:c>
      <x:c r="Q54" s="43" t="n">
        <x:v>120</x:v>
      </x:c>
      <x:c r="R54" s="43" t="n">
        <x:v>4</x:v>
      </x:c>
      <x:c r="S54" s="43" t="n">
        <x:v>5</x:v>
      </x:c>
      <x:c r="T54" s="43" t="n">
        <x:v>6</x:v>
      </x:c>
      <x:c r="U54" s="43" t="n">
        <x:v>8</x:v>
      </x:c>
      <x:c r="V54" s="43" t="n">
        <x:v>10</x:v>
      </x:c>
      <x:c r="W54" s="40" t="str">
        <x:v>{"type":"targetBuff","scope":"global","filter":{"category":["键盘乐器","弦乐器","管乐器","打击乐器"],"minArea":4},"cap":4,"excludeSource":true,"directions":[],"excludeAdjacent":false,"valueMode":"percent"}</x:v>
      </x:c>
      <x:c r="X54" s="44" t="str">
        <x:v>使背包中占用4格及以上的乐器道具各增加[4／5／6／8／10]%表演值，最多4件</x:v>
      </x:c>
    </x:row>
    <x:row r="55" ht="42" customHeight="1">
      <x:c r="A55" s="39" t="str">
        <x:v>SG04</x:v>
      </x:c>
      <x:c r="B55" s="40" t="str">
        <x:v>舞台脚灯列</x:v>
      </x:c>
      <x:c r="C55" s="40" t="str">
        <x:v>舞台装饰</x:v>
      </x:c>
      <x:c r="D55" s="40" t="str">
        <x:v>古典</x:v>
      </x:c>
      <x:c r="E55" s="40" t="str">
        <x:v>紫</x:v>
      </x:c>
      <x:c r="F55" s="37" t="n">
        <x:v>1</x:v>
      </x:c>
      <x:c r="G55" s="37" t="n">
        <x:v>2</x:v>
      </x:c>
      <x:c r="H55" s="37" t="n">
        <x:f>F55*G55</x:f>
        <x:v>2</x:v>
      </x:c>
      <x:c r="I55" s="43" t="str">
        <x:v>同名3件</x:v>
      </x:c>
      <x:c r="J55" s="43" t="str">
        <x:v>同名</x:v>
      </x:c>
      <x:c r="K55" s="43" t="str">
        <x:v>SG04</x:v>
      </x:c>
      <x:c r="L55" s="43" t="n">
        <x:v>3</x:v>
      </x:c>
      <x:c r="M55" s="43" t="n">
        <x:v>22</x:v>
      </x:c>
      <x:c r="N55" s="43" t="n">
        <x:v>29</x:v>
      </x:c>
      <x:c r="O55" s="43" t="n">
        <x:v>36</x:v>
      </x:c>
      <x:c r="P55" s="43" t="n">
        <x:v>45</x:v>
      </x:c>
      <x:c r="Q55" s="43" t="n">
        <x:v>55</x:v>
      </x:c>
      <x:c r="R55" s="43" t="n">
        <x:v>4</x:v>
      </x:c>
      <x:c r="S55" s="43" t="n">
        <x:v>5</x:v>
      </x:c>
      <x:c r="T55" s="43" t="n">
        <x:v>6</x:v>
      </x:c>
      <x:c r="U55" s="43" t="n">
        <x:v>8</x:v>
      </x:c>
      <x:c r="V55" s="43" t="n">
        <x:v>10</x:v>
      </x:c>
      <x:c r="W55" s="40" t="str">
        <x:v>{"type":"targetBuff","scope":"direction","filter":{"category":["键盘乐器","弦乐器","管乐器","打击乐器"]},"cap":4,"excludeSource":true,"directions":["up"],"excludeAdjacent":false,"valueMode":"absolute"}</x:v>
      </x:c>
      <x:c r="X55" s="44" t="str">
        <x:v>使上方的乐器道具各增加[4／5／6／8／10]表演值，最多4件</x:v>
      </x:c>
    </x:row>
    <x:row r="56" ht="42" customHeight="1">
      <x:c r="A56" s="39" t="str">
        <x:v>SG05</x:v>
      </x:c>
      <x:c r="B56" s="40" t="str">
        <x:v>红丝绒侧幕</x:v>
      </x:c>
      <x:c r="C56" s="40" t="str">
        <x:v>舞台装饰</x:v>
      </x:c>
      <x:c r="D56" s="40" t="str">
        <x:v>古典</x:v>
      </x:c>
      <x:c r="E56" s="40" t="str">
        <x:v>紫</x:v>
      </x:c>
      <x:c r="F56" s="37" t="n">
        <x:v>1</x:v>
      </x:c>
      <x:c r="G56" s="37" t="n">
        <x:v>2</x:v>
      </x:c>
      <x:c r="H56" s="37" t="n">
        <x:f>F56*G56</x:f>
        <x:v>2</x:v>
      </x:c>
      <x:c r="I56" s="43" t="str">
        <x:v>同名3件</x:v>
      </x:c>
      <x:c r="J56" s="43" t="str">
        <x:v>同名</x:v>
      </x:c>
      <x:c r="K56" s="43" t="str">
        <x:v>SG05</x:v>
      </x:c>
      <x:c r="L56" s="43" t="n">
        <x:v>3</x:v>
      </x:c>
      <x:c r="M56" s="43" t="n">
        <x:v>22</x:v>
      </x:c>
      <x:c r="N56" s="43" t="n">
        <x:v>29</x:v>
      </x:c>
      <x:c r="O56" s="43" t="n">
        <x:v>36</x:v>
      </x:c>
      <x:c r="P56" s="43" t="n">
        <x:v>45</x:v>
      </x:c>
      <x:c r="Q56" s="43" t="n">
        <x:v>55</x:v>
      </x:c>
      <x:c r="R56" s="43" t="n">
        <x:v>5</x:v>
      </x:c>
      <x:c r="S56" s="43" t="n">
        <x:v>6</x:v>
      </x:c>
      <x:c r="T56" s="43" t="n">
        <x:v>8</x:v>
      </x:c>
      <x:c r="U56" s="43" t="n">
        <x:v>10</x:v>
      </x:c>
      <x:c r="V56" s="43" t="n">
        <x:v>12</x:v>
      </x:c>
      <x:c r="W56" s="40" t="str">
        <x:v>{"type":"targetBuff","scope":"direction","filter":{"category":["键盘乐器","弦乐器","管乐器","打击乐器"]},"cap":3,"excludeSource":true,"directions":["left","right"],"excludeAdjacent":false,"valueMode":"absolute"}</x:v>
      </x:c>
      <x:c r="X56" s="44" t="str">
        <x:v>使左侧和右侧的乐器道具各增加[5／6／8／10／12]表演值，最多3件</x:v>
      </x:c>
    </x:row>
    <x:row r="57" ht="42" customHeight="1">
      <x:c r="A57" s="39" t="str">
        <x:v>SG06</x:v>
      </x:c>
      <x:c r="B57" s="40" t="str">
        <x:v>管弦乐罩棚</x:v>
      </x:c>
      <x:c r="C57" s="40" t="str">
        <x:v>舞台装饰</x:v>
      </x:c>
      <x:c r="D57" s="40" t="str">
        <x:v>现代</x:v>
      </x:c>
      <x:c r="E57" s="40" t="str">
        <x:v>紫</x:v>
      </x:c>
      <x:c r="F57" s="37" t="n">
        <x:v>2</x:v>
      </x:c>
      <x:c r="G57" s="37" t="n">
        <x:v>1</x:v>
      </x:c>
      <x:c r="H57" s="37" t="n">
        <x:f>F57*G57</x:f>
        <x:v>2</x:v>
      </x:c>
      <x:c r="I57" s="43" t="str">
        <x:v>同名3件</x:v>
      </x:c>
      <x:c r="J57" s="43" t="str">
        <x:v>同名</x:v>
      </x:c>
      <x:c r="K57" s="43" t="str">
        <x:v>SG06</x:v>
      </x:c>
      <x:c r="L57" s="43" t="n">
        <x:v>3</x:v>
      </x:c>
      <x:c r="M57" s="43" t="n">
        <x:v>22</x:v>
      </x:c>
      <x:c r="N57" s="43" t="n">
        <x:v>29</x:v>
      </x:c>
      <x:c r="O57" s="43" t="n">
        <x:v>36</x:v>
      </x:c>
      <x:c r="P57" s="43" t="n">
        <x:v>45</x:v>
      </x:c>
      <x:c r="Q57" s="43" t="n">
        <x:v>55</x:v>
      </x:c>
      <x:c r="R57" s="43" t="n">
        <x:v>5</x:v>
      </x:c>
      <x:c r="S57" s="43" t="n">
        <x:v>6</x:v>
      </x:c>
      <x:c r="T57" s="43" t="n">
        <x:v>8</x:v>
      </x:c>
      <x:c r="U57" s="43" t="n">
        <x:v>10</x:v>
      </x:c>
      <x:c r="V57" s="43" t="n">
        <x:v>12</x:v>
      </x:c>
      <x:c r="W57" s="40" t="str">
        <x:v>{"type":"targetBuff","scope":"global","filter":{"category":["键盘乐器","弦乐器","管乐器","打击乐器"]},"cap":3,"excludeSource":true,"directions":[],"excludeAdjacent":false,"valueMode":"absolute"}</x:v>
      </x:c>
      <x:c r="X57" s="44" t="str">
        <x:v>使背包中的乐器道具各增加[5／6／8／10／12]表演值，最多3件</x:v>
      </x:c>
    </x:row>
    <x:row r="58" ht="42" customHeight="1">
      <x:c r="A58" s="39" t="str">
        <x:v>SG07</x:v>
      </x:c>
      <x:c r="B58" s="40" t="str">
        <x:v>边灯支架</x:v>
      </x:c>
      <x:c r="C58" s="40" t="str">
        <x:v>舞台装饰</x:v>
      </x:c>
      <x:c r="D58" s="40" t="str">
        <x:v>现代</x:v>
      </x:c>
      <x:c r="E58" s="40" t="str">
        <x:v>蓝</x:v>
      </x:c>
      <x:c r="F58" s="37" t="n">
        <x:v>2</x:v>
      </x:c>
      <x:c r="G58" s="37" t="n">
        <x:v>1</x:v>
      </x:c>
      <x:c r="H58" s="37" t="n">
        <x:f>F58*G58</x:f>
        <x:v>2</x:v>
      </x:c>
      <x:c r="I58" s="43" t="str">
        <x:v>同名3件</x:v>
      </x:c>
      <x:c r="J58" s="43" t="str">
        <x:v>同名</x:v>
      </x:c>
      <x:c r="K58" s="43" t="str">
        <x:v>SG07</x:v>
      </x:c>
      <x:c r="L58" s="43" t="n">
        <x:v>3</x:v>
      </x:c>
      <x:c r="M58" s="43" t="n">
        <x:v>17</x:v>
      </x:c>
      <x:c r="N58" s="43" t="n">
        <x:v>22</x:v>
      </x:c>
      <x:c r="O58" s="43" t="n">
        <x:v>28</x:v>
      </x:c>
      <x:c r="P58" s="43" t="n">
        <x:v>35</x:v>
      </x:c>
      <x:c r="Q58" s="43" t="n">
        <x:v>43</x:v>
      </x:c>
      <x:c r="R58" s="43" t="n">
        <x:v>8</x:v>
      </x:c>
      <x:c r="S58" s="43" t="n">
        <x:v>10</x:v>
      </x:c>
      <x:c r="T58" s="43" t="n">
        <x:v>13</x:v>
      </x:c>
      <x:c r="U58" s="43" t="n">
        <x:v>16</x:v>
      </x:c>
      <x:c r="V58" s="43" t="n">
        <x:v>20</x:v>
      </x:c>
      <x:c r="W58" s="40" t="str">
        <x:v>{"type":"targetBuff","scope":"adjacent","filter":{"category":["键盘乐器","弦乐器","管乐器","打击乐器"]},"cap":1,"excludeSource":true,"directions":[],"excludeAdjacent":false,"valueMode":"absolute"}</x:v>
      </x:c>
      <x:c r="X58" s="44" t="str">
        <x:v>使相邻的1件乐器道具增加[8／10／13／16／20]表演值</x:v>
      </x:c>
    </x:row>
    <x:row r="59" ht="42" customHeight="1">
      <x:c r="A59" s="39" t="str">
        <x:v>SG08</x:v>
      </x:c>
      <x:c r="B59" s="40" t="str">
        <x:v>木制舞台景片</x:v>
      </x:c>
      <x:c r="C59" s="40" t="str">
        <x:v>舞台装饰</x:v>
      </x:c>
      <x:c r="D59" s="40" t="str">
        <x:v>古典</x:v>
      </x:c>
      <x:c r="E59" s="40" t="str">
        <x:v>蓝</x:v>
      </x:c>
      <x:c r="F59" s="37" t="n">
        <x:v>2</x:v>
      </x:c>
      <x:c r="G59" s="37" t="n">
        <x:v>1</x:v>
      </x:c>
      <x:c r="H59" s="37" t="n">
        <x:f>F59*G59</x:f>
        <x:v>2</x:v>
      </x:c>
      <x:c r="I59" s="43" t="str">
        <x:v>同名3件</x:v>
      </x:c>
      <x:c r="J59" s="43" t="str">
        <x:v>同名</x:v>
      </x:c>
      <x:c r="K59" s="43" t="str">
        <x:v>SG08</x:v>
      </x:c>
      <x:c r="L59" s="43" t="n">
        <x:v>3</x:v>
      </x:c>
      <x:c r="M59" s="43" t="n">
        <x:v>17</x:v>
      </x:c>
      <x:c r="N59" s="43" t="n">
        <x:v>22</x:v>
      </x:c>
      <x:c r="O59" s="43" t="n">
        <x:v>28</x:v>
      </x:c>
      <x:c r="P59" s="43" t="n">
        <x:v>35</x:v>
      </x:c>
      <x:c r="Q59" s="43" t="n">
        <x:v>43</x:v>
      </x:c>
      <x:c r="R59" s="43" t="n">
        <x:v>4</x:v>
      </x:c>
      <x:c r="S59" s="43" t="n">
        <x:v>5</x:v>
      </x:c>
      <x:c r="T59" s="43" t="n">
        <x:v>6</x:v>
      </x:c>
      <x:c r="U59" s="43" t="n">
        <x:v>8</x:v>
      </x:c>
      <x:c r="V59" s="43" t="n">
        <x:v>10</x:v>
      </x:c>
      <x:c r="W59" s="40" t="str">
        <x:v>{"type":"targetBuff","scope":"adjacent","filter":{"category":["键盘乐器","弦乐器","管乐器","打击乐器"]},"cap":2,"excludeSource":true,"directions":[],"excludeAdjacent":false,"valueMode":"absolute"}</x:v>
      </x:c>
      <x:c r="X59" s="44" t="str">
        <x:v>使相邻的乐器道具各增加[4／5／6／8／10]表演值，最多2件</x:v>
      </x:c>
    </x:row>
    <x:row r="60" ht="42" customHeight="1">
      <x:c r="A60" s="39" t="str">
        <x:v>SG09</x:v>
      </x:c>
      <x:c r="B60" s="40" t="str">
        <x:v>手持追光灯</x:v>
      </x:c>
      <x:c r="C60" s="40" t="str">
        <x:v>舞台装饰</x:v>
      </x:c>
      <x:c r="D60" s="40" t="str">
        <x:v>现代</x:v>
      </x:c>
      <x:c r="E60" s="40" t="str">
        <x:v>蓝</x:v>
      </x:c>
      <x:c r="F60" s="37" t="n">
        <x:v>1</x:v>
      </x:c>
      <x:c r="G60" s="37" t="n">
        <x:v>1</x:v>
      </x:c>
      <x:c r="H60" s="37" t="n">
        <x:f>F60*G60</x:f>
        <x:v>1</x:v>
      </x:c>
      <x:c r="I60" s="43" t="str">
        <x:v>同名2件</x:v>
      </x:c>
      <x:c r="J60" s="43" t="str">
        <x:v>同名</x:v>
      </x:c>
      <x:c r="K60" s="43" t="str">
        <x:v>SG09</x:v>
      </x:c>
      <x:c r="L60" s="43" t="n">
        <x:v>2</x:v>
      </x:c>
      <x:c r="M60" s="43" t="n">
        <x:v>10</x:v>
      </x:c>
      <x:c r="N60" s="43" t="n">
        <x:v>13</x:v>
      </x:c>
      <x:c r="O60" s="43" t="n">
        <x:v>17</x:v>
      </x:c>
      <x:c r="P60" s="43" t="n">
        <x:v>21</x:v>
      </x:c>
      <x:c r="Q60" s="43" t="n">
        <x:v>25</x:v>
      </x:c>
      <x:c r="R60" s="43" t="n">
        <x:v>8</x:v>
      </x:c>
      <x:c r="S60" s="43" t="n">
        <x:v>10</x:v>
      </x:c>
      <x:c r="T60" s="43" t="n">
        <x:v>13</x:v>
      </x:c>
      <x:c r="U60" s="43" t="n">
        <x:v>16</x:v>
      </x:c>
      <x:c r="V60" s="43" t="n">
        <x:v>20</x:v>
      </x:c>
      <x:c r="W60" s="40" t="str">
        <x:v>{"type":"targetBuff","scope":"adjacent","filter":{"category":["键盘乐器","弦乐器","管乐器","打击乐器"]},"cap":1,"excludeSource":true,"directions":[],"excludeAdjacent":false,"valueMode":"absolute"}</x:v>
      </x:c>
      <x:c r="X60" s="44" t="str">
        <x:v>使相邻的1件乐器道具增加[8／10／13／16／20]表演值</x:v>
      </x:c>
    </x:row>
    <x:row r="61" ht="42" customHeight="1">
      <x:c r="A61" s="41" t="str">
        <x:v>SG10</x:v>
      </x:c>
      <x:c r="B61" s="42" t="str">
        <x:v>声学反射板</x:v>
      </x:c>
      <x:c r="C61" s="42" t="str">
        <x:v>舞台装饰</x:v>
      </x:c>
      <x:c r="D61" s="42" t="str">
        <x:v>现代</x:v>
      </x:c>
      <x:c r="E61" s="42" t="str">
        <x:v>蓝</x:v>
      </x:c>
      <x:c r="F61" s="38" t="n">
        <x:v>1</x:v>
      </x:c>
      <x:c r="G61" s="38" t="n">
        <x:v>1</x:v>
      </x:c>
      <x:c r="H61" s="38" t="n">
        <x:f>F61*G61</x:f>
        <x:v>1</x:v>
      </x:c>
      <x:c r="I61" s="45" t="str">
        <x:v>同名3件</x:v>
      </x:c>
      <x:c r="J61" s="45" t="str">
        <x:v>同名</x:v>
      </x:c>
      <x:c r="K61" s="45" t="str">
        <x:v>SG10</x:v>
      </x:c>
      <x:c r="L61" s="45" t="n">
        <x:v>3</x:v>
      </x:c>
      <x:c r="M61" s="45" t="n">
        <x:v>10</x:v>
      </x:c>
      <x:c r="N61" s="45" t="n">
        <x:v>13</x:v>
      </x:c>
      <x:c r="O61" s="45" t="n">
        <x:v>17</x:v>
      </x:c>
      <x:c r="P61" s="45" t="n">
        <x:v>21</x:v>
      </x:c>
      <x:c r="Q61" s="45" t="n">
        <x:v>25</x:v>
      </x:c>
      <x:c r="R61" s="45" t="n">
        <x:v>4</x:v>
      </x:c>
      <x:c r="S61" s="45" t="n">
        <x:v>5</x:v>
      </x:c>
      <x:c r="T61" s="45" t="n">
        <x:v>6</x:v>
      </x:c>
      <x:c r="U61" s="45" t="n">
        <x:v>8</x:v>
      </x:c>
      <x:c r="V61" s="45" t="n">
        <x:v>10</x:v>
      </x:c>
      <x:c r="W61" s="42" t="str">
        <x:v>{"type":"targetBuff","scope":"global","filter":{"category":["键盘乐器","弦乐器","管乐器","打击乐器"]},"cap":2,"excludeSource":true,"directions":[],"excludeAdjacent":false,"valueMode":"absolute"}</x:v>
      </x:c>
      <x:c r="X61" s="46" t="str">
        <x:v>使背包中的乐器道具各增加[4／5／6／8／10]表演值，最多2件</x:v>
      </x:c>
    </x:row>
  </x:sheetData>
  <x:dataValidations count="2">
    <x:dataValidation type="list" sqref="E2:E61">
      <x:formula1>"红,金,紫,蓝"</x:formula1>
    </x:dataValidation>
    <x:dataValidation type="whole" operator="between" sqref="F2:G61">
      <x:formula1>1</x:formula1>
      <x:formula2>8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1a06088e82b4462"/>
  </x:tableParts>
</x:worksheet>
</file>